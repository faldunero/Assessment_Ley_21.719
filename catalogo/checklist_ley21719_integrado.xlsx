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Disclaimer" sheetId="2" state="visible" r:id="rId2"/>
    <sheet xmlns:r="http://schemas.openxmlformats.org/officeDocument/2006/relationships" name="Cómo llenar" sheetId="3" state="visible" r:id="rId3"/>
    <sheet xmlns:r="http://schemas.openxmlformats.org/officeDocument/2006/relationships" name="Entrevistas" sheetId="4" state="visible" r:id="rId4"/>
    <sheet xmlns:r="http://schemas.openxmlformats.org/officeDocument/2006/relationships" name="Registro entrevistas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Resumen" sheetId="7" state="visible" r:id="rId7"/>
    <sheet xmlns:r="http://schemas.openxmlformats.org/officeDocument/2006/relationships" name="Requisitos Ley" sheetId="8" state="visible" r:id="rId8"/>
    <sheet xmlns:r="http://schemas.openxmlformats.org/officeDocument/2006/relationships" name="Controles marcos" sheetId="9" state="visible" r:id="rId9"/>
    <sheet xmlns:r="http://schemas.openxmlformats.org/officeDocument/2006/relationships" name="RAT" sheetId="10" state="visible" r:id="rId10"/>
    <sheet xmlns:r="http://schemas.openxmlformats.org/officeDocument/2006/relationships" name="ARCOP" sheetId="11" state="visible" r:id="rId11"/>
    <sheet xmlns:r="http://schemas.openxmlformats.org/officeDocument/2006/relationships" name="Transferencias" sheetId="12" state="visible" r:id="rId12"/>
    <sheet xmlns:r="http://schemas.openxmlformats.org/officeDocument/2006/relationships" name="Escala" sheetId="13" state="visible" r:id="rId13"/>
    <sheet xmlns:r="http://schemas.openxmlformats.org/officeDocument/2006/relationships" name="Notas" sheetId="14" state="visible" r:id="rId14"/>
    <sheet xmlns:r="http://schemas.openxmlformats.org/officeDocument/2006/relationships" name="Listas" sheetId="15" state="visible" r:id="rId15"/>
  </sheets>
  <definedNames>
    <definedName name="_xlnm._FilterDatabase" localSheetId="7" hidden="1">'Requisitos Ley'!$A$1:$I$199</definedName>
    <definedName name="_xlnm._FilterDatabase" localSheetId="8" hidden="1">'Controles marcos'!$A$1:$G$172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1">
    <font>
      <name val="Calibri"/>
      <family val="2"/>
      <color theme="1"/>
      <sz val="11"/>
      <scheme val="minor"/>
    </font>
    <font>
      <b val="1"/>
      <color rgb="001F3864"/>
      <sz val="14"/>
    </font>
    <font>
      <i val="1"/>
    </font>
    <font>
      <b val="1"/>
    </font>
    <font>
      <b val="1"/>
      <color rgb="001F3864"/>
    </font>
    <font>
      <b val="1"/>
      <color rgb="00FFFFFF"/>
    </font>
    <font>
      <b val="1"/>
      <color rgb="001F3864"/>
      <sz val="13"/>
    </font>
    <font>
      <i val="1"/>
      <color rgb="00595959"/>
    </font>
    <font>
      <b val="1"/>
      <color rgb="001F3864"/>
      <sz val="12"/>
    </font>
    <font>
      <b val="1"/>
      <color rgb="001F3864"/>
      <sz val="16"/>
    </font>
    <font>
      <b val="1"/>
      <color rgb="001F3864"/>
      <sz val="15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applyProtection="1" pivotButton="0" quotePrefix="0" xfId="0">
      <protection locked="0" hidden="0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8" fillId="0" borderId="0" pivotButton="0" quotePrefix="0" xfId="0"/>
    <xf numFmtId="0" fontId="0" fillId="2" borderId="1" applyAlignment="1" applyProtection="1" pivotButton="0" quotePrefix="0" xfId="0">
      <alignment vertical="top" wrapText="1"/>
      <protection locked="0" hidden="0"/>
    </xf>
    <xf numFmtId="0" fontId="10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2" borderId="1" applyAlignment="1" applyProtection="1" pivotButton="0" quotePrefix="0" xfId="0">
      <alignment vertical="top" wrapText="1"/>
      <protection locked="0" hidden="0"/>
    </xf>
    <xf numFmtId="0" fontId="0" fillId="0" borderId="1" pivotButton="0" quotePrefix="0" xfId="0"/>
    <xf numFmtId="0" fontId="9" fillId="0" borderId="0" pivotButton="0" quotePrefix="0" xfId="0"/>
    <xf numFmtId="0" fontId="7" fillId="0" borderId="0" pivotButton="0" quotePrefix="0" xfId="0"/>
    <xf numFmtId="0" fontId="5" fillId="3" borderId="0" applyAlignment="1" pivotButton="0" quotePrefix="0" xfId="0">
      <alignment vertical="center"/>
    </xf>
    <xf numFmtId="2" fontId="8" fillId="4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 wrapText="1"/>
    </xf>
    <xf numFmtId="1" fontId="8" fillId="4" borderId="0" applyAlignment="1" pivotButton="0" quotePrefix="0" xfId="0">
      <alignment horizontal="center" vertical="center" wrapText="1"/>
    </xf>
    <xf numFmtId="0" fontId="5" fillId="3" borderId="0" pivotButton="0" quotePrefix="0" xfId="0"/>
    <xf numFmtId="0" fontId="5" fillId="3" borderId="0" applyAlignment="1" pivotButton="0" quotePrefix="0" xfId="0">
      <alignment horizontal="center" vertical="center" wrapText="1"/>
    </xf>
    <xf numFmtId="2" fontId="0" fillId="0" borderId="1" pivotButton="0" quotePrefix="0" xfId="0"/>
    <xf numFmtId="0" fontId="6" fillId="0" borderId="0" pivotButton="0" quotePrefix="0" xfId="0"/>
    <xf numFmtId="2" fontId="0" fillId="4" borderId="1" pivotButton="0" quotePrefix="0" xfId="0"/>
    <xf numFmtId="1" fontId="0" fillId="4" borderId="1" pivotButton="0" quotePrefix="0" xfId="0"/>
    <xf numFmtId="9" fontId="0" fillId="2" borderId="1" applyProtection="1" pivotButton="0" quotePrefix="0" xfId="0">
      <protection locked="0" hidden="0"/>
    </xf>
    <xf numFmtId="9" fontId="0" fillId="0" borderId="1" pivotButton="0" quotePrefix="0" xfId="0"/>
    <xf numFmtId="0" fontId="3" fillId="4" borderId="1" pivotButton="0" quotePrefix="0" xfId="0"/>
    <xf numFmtId="9" fontId="0" fillId="4" borderId="1" pivotButton="0" quotePrefix="0" xfId="0"/>
    <xf numFmtId="0" fontId="0" fillId="4" borderId="1" pivotButton="0" quotePrefix="0" xfId="0"/>
    <xf numFmtId="2" fontId="0" fillId="0" borderId="0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2" borderId="1" applyAlignment="1" applyProtection="1" pivotButton="0" quotePrefix="0" xfId="0">
      <alignment horizontal="center" vertical="center" wrapText="1"/>
      <protection locked="0" hidden="0"/>
    </xf>
    <xf numFmtId="1" fontId="0" fillId="0" borderId="1" applyAlignment="1" pivotButton="0" quotePrefix="0" xfId="0">
      <alignment horizontal="center" vertical="center" wrapText="1"/>
    </xf>
    <xf numFmtId="0" fontId="0" fillId="2" borderId="0" applyAlignment="1" applyProtection="1" pivotButton="0" quotePrefix="0" xfId="0">
      <alignment vertical="top" wrapText="1"/>
      <protection locked="0" hidden="0"/>
    </xf>
    <xf numFmtId="9" fontId="0" fillId="0" borderId="0" applyAlignment="1" pivotButton="0" quotePrefix="0" xfId="0">
      <alignment vertical="top" wrapText="1"/>
    </xf>
    <xf numFmtId="9" fontId="0" fillId="0" borderId="0" pivotButton="0" quotePrefix="0" xfId="0"/>
    <xf numFmtId="165" fontId="0" fillId="2" borderId="0" applyAlignment="1" applyProtection="1" pivotButton="0" quotePrefix="0" xfId="0">
      <alignment vertical="top" wrapText="1"/>
      <protection locked="0" hidden="0"/>
    </xf>
    <xf numFmtId="0" fontId="5" fillId="3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Puntaje por dimensión (1-5)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'Dashboard'!$B$12:$B$29</f>
            </numRef>
          </cat>
          <val>
            <numRef>
              <f>'Dashboard'!$D$12:$D$29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Perfil de cumplimiento por dimensión</a:t>
            </a:r>
          </a:p>
        </rich>
      </tx>
    </title>
    <plotArea>
      <radarChart>
        <radarStyle val="standard"/>
        <ser>
          <idx val="0"/>
          <order val="0"/>
          <tx>
            <strRef>
              <f>'Dashboard'!D11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'Dashboard'!$B$12:$B$29</f>
            </numRef>
          </cat>
          <val>
            <numRef>
              <f>'Dashboard'!$D$12:$D$29</f>
            </numRef>
          </val>
        </ser>
        <axId val="10"/>
        <axId val="100"/>
      </rad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Puntaje por marco de referencia (1-5)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'Dashboard'!$C$32:$C$37</f>
            </numRef>
          </cat>
          <val>
            <numRef>
              <f>'Dashboard'!$E$32:$E$37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25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47</row>
      <rowOff>0</rowOff>
    </from>
    <ext cx="64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0" customWidth="1" min="3" max="3"/>
  </cols>
  <sheetData>
    <row r="2">
      <c r="B2" s="1" t="inlineStr">
        <is>
          <t>CHECKLIST INTEGRADO DE CUMPLIMIENTO — LEY N° 21.719</t>
        </is>
      </c>
    </row>
    <row r="3">
      <c r="B3" s="2" t="inlineStr">
        <is>
          <t>Integra RAT, ARCOP, transferencias, ISO/IEC 27001:2022, NIST CSF 2.0, CIS, COBIT, PCI DSS y normativa chilena</t>
        </is>
      </c>
    </row>
    <row r="5">
      <c r="B5" s="3" t="inlineStr">
        <is>
          <t>Organización</t>
        </is>
      </c>
      <c r="C5" s="4" t="inlineStr">
        <is>
          <t>[Completar]</t>
        </is>
      </c>
    </row>
    <row r="6">
      <c r="B6" s="3" t="inlineStr">
        <is>
          <t>Responsable de cumplimiento</t>
        </is>
      </c>
      <c r="C6" s="4" t="inlineStr">
        <is>
          <t>[Completar]</t>
        </is>
      </c>
    </row>
    <row r="7">
      <c r="B7" s="3" t="inlineStr">
        <is>
          <t>Fecha de evaluación</t>
        </is>
      </c>
      <c r="C7" s="4" t="inlineStr">
        <is>
          <t>[Completar]</t>
        </is>
      </c>
    </row>
    <row r="8">
      <c r="B8" s="3" t="inlineStr">
        <is>
          <t>Próxima revisión</t>
        </is>
      </c>
      <c r="C8" s="4" t="inlineStr">
        <is>
          <t>[Completar]</t>
        </is>
      </c>
    </row>
    <row r="9">
      <c r="B9" s="3" t="inlineStr">
        <is>
          <t>Evaluador</t>
        </is>
      </c>
      <c r="C9" s="4" t="inlineStr">
        <is>
          <t>[Completar]</t>
        </is>
      </c>
    </row>
    <row r="11">
      <c r="B11" s="5" t="inlineStr">
        <is>
          <t>CÓMO FUNCIONA</t>
        </is>
      </c>
    </row>
    <row r="12" ht="30" customHeight="1">
      <c r="B12" s="6" t="inlineStr">
        <is>
          <t>1. Controles marcos: asignar a cada control (ISO, NIST, CIS, COBIT, PCI y normativa) un puntaje de 1 a 5, o N/A si no aplica.</t>
        </is>
      </c>
    </row>
    <row r="13" ht="30" customHeight="1">
      <c r="B13" s="6" t="inlineStr">
        <is>
          <t>2. RAT, ARCOP y Transferencias: mantener los registros. Los indicadores de la hoja Resumen se calculan solos desde ahí.</t>
        </is>
      </c>
    </row>
    <row r="14" ht="30" customHeight="1">
      <c r="B14" s="6" t="inlineStr">
        <is>
          <t>3. Requisitos Ley: el puntaje de cada requisito es el promedio de sus controles mapeados (y de sus indicadores, cuando corresponda). No se asigna puntaje manual.</t>
        </is>
      </c>
    </row>
    <row r="15" ht="30" customHeight="1">
      <c r="B15" s="6" t="inlineStr">
        <is>
          <t>4. Resumen: puntaje por dimensión, total ponderado, vista por marco y por función NIST / tema ISO.</t>
        </is>
      </c>
    </row>
    <row r="16" ht="30" customHeight="1">
      <c r="B16" s="6" t="inlineStr">
        <is>
          <t>5. Un requisito sin controles puntuados queda en blanco y no pesa en el total.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">
    <mergeCell ref="B13:C13"/>
    <mergeCell ref="B16:C16"/>
    <mergeCell ref="B15:C15"/>
    <mergeCell ref="B14:C14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0" customWidth="1" min="3" max="3"/>
  </cols>
  <sheetData>
    <row r="2">
      <c r="B2" s="1" t="inlineStr">
        <is>
          <t>DISCLAIMER, CONFIDENCIALIDAD Y ACEPTACIÓN DE LA INFORMACIÓN</t>
        </is>
      </c>
    </row>
    <row r="3">
      <c r="B3" s="2" t="inlineStr">
        <is>
          <t>Levantamiento preliminar (discovery) — Ley N° 21.719 sobre protección de datos personales</t>
        </is>
      </c>
    </row>
    <row r="5" ht="48" customHeight="1">
      <c r="B5" s="7" t="inlineStr">
        <is>
          <t>1. Naturaleza del documento</t>
        </is>
      </c>
      <c r="C5" s="6" t="inlineStr">
        <is>
          <t>Este archivo es un levantamiento preliminar (discovery) para identificar brechas de cumplimiento y dimensionar la etapa de remediación. No constituye auditoría, certificación, dictamen ni asesoría legal. Para conclusiones jurídicas definitivas, consulte a un abogado especialista.</t>
        </is>
      </c>
    </row>
    <row r="6" ht="48" customHeight="1">
      <c r="B6" s="7" t="inlineStr">
        <is>
          <t>2. Base de la información</t>
        </is>
      </c>
      <c r="C6" s="6" t="inlineStr">
        <is>
          <t>Los puntajes se calculan a partir de la información que entrega la organización y de las entrevistas realizadas. Salvo que se indique lo contrario, la información no ha sido verificada de forma independiente. Los puntajes son indicativos y pueden cambiar con evidencia adicional.</t>
        </is>
      </c>
    </row>
    <row r="7" ht="64" customHeight="1">
      <c r="B7" s="7" t="inlineStr">
        <is>
          <t>3. Marco normativo</t>
        </is>
      </c>
      <c r="C7" s="6" t="inlineStr">
        <is>
          <t>Las referencias a la Ley 21.719 corresponden a la versión disponible al momento de la evaluación. La ley entra en vigencia el 1 de diciembre de 2026; existe un proyecto para postergarla. Los artículos y plazos citados deben validarse contra el texto oficial publicado en la Biblioteca del Congreso Nacional (BCN). Las sanciones no forman parte de este análisis.</t>
        </is>
      </c>
    </row>
    <row r="8" ht="64" customHeight="1">
      <c r="B8" s="7" t="inlineStr">
        <is>
          <t>4. Datos personales en este archivo</t>
        </is>
      </c>
      <c r="C8" s="6" t="inlineStr">
        <is>
          <t>Este archivo debe contener la menor cantidad posible de datos personales. En los registros de actividades, solicitudes ARCOP y transferencias use identificadores internos o iniciales, nunca nombres completos, RUT, correos ni datos de salud de personas. Si la información sensible es necesaria para el diagnóstico, regístrela de forma agregada.</t>
        </is>
      </c>
    </row>
    <row r="9" ht="48" customHeight="1">
      <c r="B9" s="7" t="inlineStr">
        <is>
          <t>5. Clasificación y acceso</t>
        </is>
      </c>
      <c r="C9" s="6" t="inlineStr">
        <is>
          <t>Este archivo y su contenido se consideran CONFIDENCIALES. Compártalo solo con personas autorizadas por la dirección de la organización. No lo reenvíe por canales no corporativos ni lo publique.</t>
        </is>
      </c>
    </row>
    <row r="10" ht="64" customHeight="1">
      <c r="B10" s="7" t="inlineStr">
        <is>
          <t>6. Entrevistas y aviso a entrevistados</t>
        </is>
      </c>
      <c r="C10" s="6" t="inlineStr">
        <is>
          <t>Las entrevistas tienen por finalidad diagnosticar el estado de cumplimiento de la organización. Antes de iniciarlas, informe al entrevistado que sus respuestas se registran en este archivo, quién las usará y por cuánto tiempo se conservarán. Si se graban o se toman fotos o documentos personales, obtenga su consentimiento previo.</t>
        </is>
      </c>
    </row>
    <row r="11" ht="48" customHeight="1">
      <c r="B11" s="7" t="inlineStr">
        <is>
          <t>7. Responsabilidad</t>
        </is>
      </c>
      <c r="C11" s="6" t="inlineStr">
        <is>
          <t>La organización es responsable de la veracidad y completitud de la información entregada. El evaluador no responde por decisiones tomadas con base en este archivo sin validación adicional.</t>
        </is>
      </c>
    </row>
    <row r="12" ht="48" customHeight="1">
      <c r="B12" s="7" t="inlineStr">
        <is>
          <t>8. Uso del resultado</t>
        </is>
      </c>
      <c r="C12" s="6" t="inlineStr">
        <is>
          <t>El resultado sirve para priorizar la remediación. Antes de implementar cambios, valide cada brecha con su área responsable y con asesoría legal cuando corresponda.</t>
        </is>
      </c>
    </row>
    <row r="14">
      <c r="B14" s="8" t="inlineStr">
        <is>
          <t>ACEPTACIÓN</t>
        </is>
      </c>
    </row>
    <row r="15" ht="30" customHeight="1">
      <c r="C15" s="6" t="inlineStr">
        <is>
          <t>Complete los campos amarillos. Al responder 'Sí', usted declara haber leído y aceptado las condiciones anteriores.</t>
        </is>
      </c>
    </row>
    <row r="16" ht="24" customHeight="1">
      <c r="B16" s="3" t="inlineStr">
        <is>
          <t>Organización evaluada</t>
        </is>
      </c>
      <c r="C16" s="9" t="inlineStr"/>
    </row>
    <row r="17" ht="24" customHeight="1">
      <c r="B17" s="3" t="inlineStr">
        <is>
          <t>Nombre de quien acepta</t>
        </is>
      </c>
      <c r="C17" s="9" t="inlineStr"/>
    </row>
    <row r="18" ht="24" customHeight="1">
      <c r="B18" s="3" t="inlineStr">
        <is>
          <t>Cargo</t>
        </is>
      </c>
      <c r="C18" s="9" t="inlineStr"/>
    </row>
    <row r="19" ht="24" customHeight="1">
      <c r="B19" s="3" t="inlineStr">
        <is>
          <t>Fecha de aceptación (dd/mm/aaaa)</t>
        </is>
      </c>
      <c r="C19" s="9" t="inlineStr"/>
    </row>
    <row r="20" ht="24" customHeight="1">
      <c r="B20" s="3" t="inlineStr">
        <is>
          <t>¿Acepta las condiciones? (Sí/No)</t>
        </is>
      </c>
      <c r="C20" s="9" t="inlineStr"/>
    </row>
    <row r="21" ht="48" customHeight="1">
      <c r="B21" s="3" t="inlineStr">
        <is>
          <t>Observaciones</t>
        </is>
      </c>
      <c r="C21" s="9" t="inlineStr"/>
    </row>
    <row r="22" ht="24" customHeight="1">
      <c r="B22" s="3" t="inlineStr">
        <is>
          <t>Firma (nombre escrito)</t>
        </is>
      </c>
      <c r="C22" s="9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2">
    <dataValidation sqref="C20" showDropDown="0" showInputMessage="0" showErrorMessage="1" allowBlank="1" errorTitle="Respuesta no válida" error="Seleccione Sí o No." type="list">
      <formula1>=Listas!$D$2:$D$3</formula1>
    </dataValidation>
    <dataValidation sqref="C19" showDropDown="0" showInputMessage="0" showErrorMessage="1" allowBlank="1" errorTitle="Fecha no válida" error="Ingrese una fecha válida dd/mm/aaaa." type="date" operator="between">
      <formula1>43831</formula1>
      <formula2>49674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60" customWidth="1" min="3" max="3"/>
    <col width="46" customWidth="1" min="4" max="4"/>
    <col width="40" customWidth="1" min="5" max="5"/>
  </cols>
  <sheetData>
    <row r="1">
      <c r="B1" s="10" t="inlineStr">
        <is>
          <t>CÓMO LLENAR ESTE CHECKLIST</t>
        </is>
      </c>
    </row>
    <row r="2" ht="32" customHeight="1">
      <c r="B2" s="6" t="inlineStr">
        <is>
          <t>Regla básica: las celdas AMARILLAS son las únicas que puede editar. El resto está bloqueado para evitar cambios por error.</t>
        </is>
      </c>
    </row>
    <row r="3" ht="28" customHeight="1">
      <c r="B3" s="6" t="inlineStr">
        <is>
          <t>Sin contraseña. Si necesita cambiar una fórmula: Revisar &gt; Desproteger hoja. Vuelva a proteger al terminar.</t>
        </is>
      </c>
    </row>
    <row r="5">
      <c r="A5" s="11" t="inlineStr">
        <is>
          <t>Paso</t>
        </is>
      </c>
      <c r="B5" s="11" t="inlineStr">
        <is>
          <t>Hoja</t>
        </is>
      </c>
      <c r="C5" s="11" t="inlineStr">
        <is>
          <t>Qué hacer</t>
        </is>
      </c>
      <c r="D5" s="11" t="inlineStr">
        <is>
          <t>Valores aceptados</t>
        </is>
      </c>
      <c r="E5" s="11" t="inlineStr">
        <is>
          <t>Ejemplo</t>
        </is>
      </c>
    </row>
    <row r="6" ht="78" customHeight="1">
      <c r="A6" s="12" t="inlineStr">
        <is>
          <t>1</t>
        </is>
      </c>
      <c r="B6" s="12" t="inlineStr">
        <is>
          <t>Portada</t>
        </is>
      </c>
      <c r="C6" s="12" t="inlineStr">
        <is>
          <t>Escriba el nombre de la organización, el responsable, la fecha de evaluación, la próxima revisión y el evaluador.</t>
        </is>
      </c>
      <c r="D6" s="12" t="inlineStr">
        <is>
          <t>Texto libre. Fechas en formato dd/mm/aaaa.</t>
        </is>
      </c>
      <c r="E6" s="12" t="inlineStr">
        <is>
          <t>Fecha de evaluación: 19/10/2026</t>
        </is>
      </c>
    </row>
    <row r="7" ht="78" customHeight="1">
      <c r="A7" s="12" t="inlineStr">
        <is>
          <t>2</t>
        </is>
      </c>
      <c r="B7" s="12" t="inlineStr">
        <is>
          <t>RAT</t>
        </is>
      </c>
      <c r="C7" s="12" t="inlineStr">
        <is>
          <t>Una fila por cada actividad de tratamiento de datos personales. Complete las columnas B a P. La columna Q (completitud) se calcula sola: 100% = las 15 columnas llenas.</t>
        </is>
      </c>
      <c r="D7" s="12" t="inlineStr">
        <is>
          <t>Base legal: elija de la lista. Datos sensibles: Sí o No. Última revisión: dd/mm/aaaa. El resto, texto.</t>
        </is>
      </c>
      <c r="E7" s="12" t="inlineStr">
        <is>
          <t>RAT-007 · Gestión de postventa · Lit. b — Ejecución de contrato</t>
        </is>
      </c>
    </row>
    <row r="8" ht="78" customHeight="1">
      <c r="A8" s="12" t="inlineStr">
        <is>
          <t>3</t>
        </is>
      </c>
      <c r="B8" s="12" t="inlineStr">
        <is>
          <t>ARCOP</t>
        </is>
      </c>
      <c r="C8" s="12" t="inlineStr">
        <is>
          <t>Una fila por cada solicitud de derechos del titular. Tipo y Estado se eligen de la lista. La columna Estado de plazo se calcula sola (A tiempo, Fuera de plazo, En plazo o Vencida).</t>
        </is>
      </c>
      <c r="D8" s="12" t="inlineStr">
        <is>
          <t>Tipo: lista. Estado: Pendiente, En proceso, Respondido o Rechazado. Fechas dd/mm/aaaa. Fecha límite: 30 días corridos desde la recepción (verifique el plazo en el texto oficial).</t>
        </is>
      </c>
      <c r="E8" s="12" t="inlineStr">
        <is>
          <t>ARC-005 · Acceso · recibida 02/10/2026 · límite 01/11/2026</t>
        </is>
      </c>
    </row>
    <row r="9" ht="78" customHeight="1">
      <c r="A9" s="12" t="inlineStr">
        <is>
          <t>4</t>
        </is>
      </c>
      <c r="B9" s="12" t="inlineStr">
        <is>
          <t>Transferencias</t>
        </is>
      </c>
      <c r="C9" s="12" t="inlineStr">
        <is>
          <t>Una fila por cada destinatario fuera de Chile. Use el mismo ID del RAT. La columna Garantía definida se calcula sola: Sí si escribió la garantía.</t>
        </is>
      </c>
      <c r="D9" s="12" t="inlineStr">
        <is>
          <t>ID RAT: el mismo de la hoja RAT. Garantías: texto (por ejemplo, SCC + DPA).</t>
        </is>
      </c>
      <c r="E9" s="12" t="inlineStr">
        <is>
          <t>RAT-003 · Mailchimp · EE.UU. · SCC + DPA</t>
        </is>
      </c>
    </row>
    <row r="10" ht="78" customHeight="1">
      <c r="A10" s="12" t="inlineStr">
        <is>
          <t>5</t>
        </is>
      </c>
      <c r="B10" s="12" t="inlineStr">
        <is>
          <t>Controles marcos</t>
        </is>
      </c>
      <c r="C10" s="12" t="inlineStr">
        <is>
          <t>Para cada control, lea en la columna C qué debe levantar. El puntaje se calcula solo a partir de la hoja Registro entrevistas: registre allí cada entrevista y su evidencia verificada. Use N/A solo si el control no aplica, y justifique en la columna Evidencia (escriba la razón en esa celda).</t>
        </is>
      </c>
      <c r="D10" s="12" t="inlineStr">
        <is>
          <t>1, 2, 3, 4, 5 o N/A. Guía de niveles en la hoja Escala.</t>
        </is>
      </c>
      <c r="E10" s="12" t="inlineStr">
        <is>
          <t>ISO 8.7 · 4 (EDR en todos los endpoints, sin revisión trimestral)</t>
        </is>
      </c>
    </row>
    <row r="11" ht="78" customHeight="1">
      <c r="A11" s="12" t="inlineStr">
        <is>
          <t>6</t>
        </is>
      </c>
      <c r="B11" s="12" t="inlineStr">
        <is>
          <t>Requisitos Ley</t>
        </is>
      </c>
      <c r="C11" s="12" t="inlineStr">
        <is>
          <t>No se puntúa aquí: el puntaje sale del promedio de los controles mapeados. Complete Evidencia, Brecha / plan de acción, Responsable y Fecha límite. Para incluir u omitir requisitos extra, cambie 'Incluir en puntaje' (columna K): Sí o No.</t>
        </is>
      </c>
      <c r="D11" s="12" t="inlineStr">
        <is>
          <t>Texto libre. Fecha límite en dd/mm/aaaa.</t>
        </is>
      </c>
      <c r="E11" s="12" t="inlineStr">
        <is>
          <t>Brecha: falta matriz de accesos. Responsable: CISO. Fecha: 30/11/2026</t>
        </is>
      </c>
    </row>
    <row r="12" ht="78" customHeight="1">
      <c r="A12" s="12" t="inlineStr">
        <is>
          <t>7</t>
        </is>
      </c>
      <c r="B12" s="12" t="inlineStr">
        <is>
          <t>Resumen</t>
        </is>
      </c>
      <c r="C12" s="12" t="inlineStr">
        <is>
          <t>Ajuste el peso de cada dimensión si su organización lo requiere. Los pesos deben sumar 100%.</t>
        </is>
      </c>
      <c r="D12" s="12" t="inlineStr">
        <is>
          <t>Porcentaje entre 0% y 100%. La celda de control debe decir 'Pesos correctos'.</t>
        </is>
      </c>
      <c r="E12" s="12" t="inlineStr">
        <is>
          <t>D8 Seguridad: 11%</t>
        </is>
      </c>
    </row>
    <row r="13" ht="78" customHeight="1">
      <c r="A13" s="12" t="inlineStr">
        <is>
          <t>8</t>
        </is>
      </c>
      <c r="B13" s="12" t="inlineStr">
        <is>
          <t>Entrevistas</t>
        </is>
      </c>
      <c r="C13" s="12" t="inlineStr">
        <is>
          <t>Prepare y registre cada entrevista por dimensión: quién consultar, qué preguntar y qué evidencia pedir. Lo que escriba aquí no cambia el puntaje; úselo para puntuar los controles.</t>
        </is>
      </c>
      <c r="D13" s="12" t="inlineStr">
        <is>
          <t>Texto libre. Puntaje sugerido: 1 a 5 o N/A.</t>
        </is>
      </c>
      <c r="E13" s="12" t="inlineStr">
        <is>
          <t>Gerencia de RRHH: contratos sin cláusulas de privacidad; expedientes en papel sin control de acceso.</t>
        </is>
      </c>
    </row>
    <row r="14" ht="78" customHeight="1">
      <c r="A14" s="12" t="inlineStr">
        <is>
          <t>9</t>
        </is>
      </c>
      <c r="B14" s="12" t="inlineStr">
        <is>
          <t>Dashboard</t>
        </is>
      </c>
      <c r="C14" s="12" t="inlineStr">
        <is>
          <t>No se edita. Revise el resultado después de completar los pasos anteriores.</t>
        </is>
      </c>
      <c r="D14" s="12" t="inlineStr">
        <is>
          <t>—</t>
        </is>
      </c>
      <c r="E14" s="12" t="inlineStr">
        <is>
          <t>Si aparece 'Cobertura insuficiente', faltan requisitos por evaluar.</t>
        </is>
      </c>
    </row>
    <row r="16">
      <c r="B16" s="5" t="inlineStr">
        <is>
          <t>ORDEN RECOMENDADO</t>
        </is>
      </c>
    </row>
    <row r="17" ht="30" customHeight="1">
      <c r="B17" s="6" t="inlineStr">
        <is>
          <t>1 → 2 → 3 → 4 → 5 → 6 → 7 → revisar el Dashboard. Los pasos 2, 3 y 4 alimentan indicadores que afectan los requisitos de la ley.</t>
        </is>
      </c>
    </row>
    <row r="19">
      <c r="B19" s="5" t="inlineStr">
        <is>
          <t>ERRORES COMUNES</t>
        </is>
      </c>
    </row>
    <row r="20" ht="30" customHeight="1">
      <c r="B20" s="6" t="inlineStr">
        <is>
          <t>• Una fecha escrita como texto no se reconoce en el cálculo de plazos. Use dd/mm/aaaa.</t>
        </is>
      </c>
    </row>
    <row r="21" ht="30" customHeight="1">
      <c r="B21" s="6" t="inlineStr">
        <is>
          <t>• Si una celda muestra un aviso amarillo al escribir, revise el valor. Puede guardarlo, pero el cálculo puede no reflejarlo.</t>
        </is>
      </c>
    </row>
    <row r="22" ht="30" customHeight="1">
      <c r="B22" s="6" t="inlineStr">
        <is>
          <t>• No borre fórmulas de las columnas Q (RAT), I (ARCOP) ni J (Transferencias). Están bloqueadas.</t>
        </is>
      </c>
    </row>
    <row r="23" ht="30" customHeight="1">
      <c r="B23" s="6" t="inlineStr">
        <is>
          <t>• Un requisito sin controles puntuados aparece en blanco y no pesa en el total. Por eso el Dashboard muestra la cobertura.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7">
    <mergeCell ref="B17:E17"/>
    <mergeCell ref="B23:E23"/>
    <mergeCell ref="B21:E21"/>
    <mergeCell ref="B3:E3"/>
    <mergeCell ref="B2:E2"/>
    <mergeCell ref="B20:E20"/>
    <mergeCell ref="B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28" customWidth="1" min="3" max="3"/>
    <col width="70" customWidth="1" min="4" max="4"/>
    <col width="40" customWidth="1" min="5" max="5"/>
    <col width="14" customWidth="1" min="6" max="6"/>
    <col width="22" customWidth="1" min="7" max="7"/>
    <col width="44" customWidth="1" min="8" max="8"/>
    <col width="14" customWidth="1" min="9" max="9"/>
  </cols>
  <sheetData>
    <row r="1">
      <c r="A1" s="1" t="inlineStr">
        <is>
          <t>GUÍA DE ENTREVISTAS POR DIMENSIÓN</t>
        </is>
      </c>
    </row>
    <row r="2" ht="30" customHeight="1">
      <c r="A2" s="6" t="inlineStr">
        <is>
          <t>Guía de preguntas por dimensión para preparar cada entrevista. Para registrar lo que responde la persona, use la hoja Registro entrevistas: el puntaje se calcula desde allí.</t>
        </is>
      </c>
    </row>
    <row r="4">
      <c r="A4" s="11" t="inlineStr">
        <is>
          <t>Código</t>
        </is>
      </c>
      <c r="B4" s="11" t="inlineStr">
        <is>
          <t>Dimensión</t>
        </is>
      </c>
      <c r="C4" s="11" t="inlineStr">
        <is>
          <t>Entrevistado sugerido</t>
        </is>
      </c>
      <c r="D4" s="11" t="inlineStr">
        <is>
          <t>Preguntas clave</t>
        </is>
      </c>
      <c r="E4" s="11" t="inlineStr">
        <is>
          <t>Evidencia a solicitar</t>
        </is>
      </c>
      <c r="F4" s="11" t="inlineStr">
        <is>
          <t>Fecha entrevista</t>
        </is>
      </c>
      <c r="G4" s="11" t="inlineStr">
        <is>
          <t>Entrevistado real</t>
        </is>
      </c>
      <c r="H4" s="11" t="inlineStr">
        <is>
          <t>Hallazgos</t>
        </is>
      </c>
      <c r="I4" s="11" t="inlineStr">
        <is>
          <t>Puntaje sugerido (1-5)</t>
        </is>
      </c>
    </row>
    <row r="5" ht="96" customHeight="1">
      <c r="A5" s="12" t="inlineStr">
        <is>
          <t>D1</t>
        </is>
      </c>
      <c r="B5" s="12" t="inlineStr">
        <is>
          <t>Gobierno y responsabilidad proactiva</t>
        </is>
      </c>
      <c r="C5" s="12" t="inlineStr">
        <is>
          <t>Gerencia General / Directorio</t>
        </is>
      </c>
      <c r="D5" s="12" t="inlineStr">
        <is>
          <t>1. ¿Quién aprobó la política de privacidad y cuándo se revisó por última vez?
2. ¿Existe un responsable de privacidad con recursos asignados?
3. ¿Cómo demuestra el cumplimiento si la autoridad lo solicita?</t>
        </is>
      </c>
      <c r="E5" s="12" t="inlineStr">
        <is>
          <t>Política aprobada, acta de directorio, organigrama con roles</t>
        </is>
      </c>
      <c r="F5" s="9" t="n"/>
      <c r="G5" s="9" t="n"/>
      <c r="H5" s="9" t="n"/>
      <c r="I5" s="9" t="n"/>
    </row>
    <row r="6" ht="96" customHeight="1">
      <c r="A6" s="12" t="inlineStr">
        <is>
          <t>D2</t>
        </is>
      </c>
      <c r="B6" s="12" t="inlineStr">
        <is>
          <t>Inventario y Registro de Actividades de Tratamiento (RAT)</t>
        </is>
      </c>
      <c r="C6" s="12" t="inlineStr">
        <is>
          <t>Gerencia de TI y responsable de datos</t>
        </is>
      </c>
      <c r="D6" s="12" t="inlineStr">
        <is>
          <t>1. ¿Existe un inventario de sistemas que tratan datos personales?
2. ¿Quién mantiene el RAT y cuándo se actualizó?</t>
        </is>
      </c>
      <c r="E6" s="12" t="inlineStr">
        <is>
          <t>RAT vigente, inventario de sistemas</t>
        </is>
      </c>
      <c r="F6" s="9" t="n"/>
      <c r="G6" s="9" t="n"/>
      <c r="H6" s="9" t="n"/>
      <c r="I6" s="9" t="n"/>
    </row>
    <row r="7" ht="96" customHeight="1">
      <c r="A7" s="12" t="inlineStr">
        <is>
          <t>D3</t>
        </is>
      </c>
      <c r="B7" s="12" t="inlineStr">
        <is>
          <t>Licitud del tratamiento y consentimiento</t>
        </is>
      </c>
      <c r="C7" s="12" t="inlineStr">
        <is>
          <t>Gerencia Comercial y Marketing</t>
        </is>
      </c>
      <c r="D7" s="12" t="inlineStr">
        <is>
          <t>1. ¿Con qué base legal se trata cada base de datos?
2. ¿Cómo se registra el consentimiento y cómo se revoca?</t>
        </is>
      </c>
      <c r="E7" s="12" t="inlineStr">
        <is>
          <t>Formularios de consentimiento, registro de consentimientos</t>
        </is>
      </c>
      <c r="F7" s="9" t="n"/>
      <c r="G7" s="9" t="n"/>
      <c r="H7" s="9" t="n"/>
      <c r="I7" s="9" t="n"/>
    </row>
    <row r="8" ht="96" customHeight="1">
      <c r="A8" s="12" t="inlineStr">
        <is>
          <t>D4</t>
        </is>
      </c>
      <c r="B8" s="12" t="inlineStr">
        <is>
          <t>Derechos de los titulares (ARCOP)</t>
        </is>
      </c>
      <c r="C8" s="12" t="inlineStr">
        <is>
          <t>Servicio al cliente</t>
        </is>
      </c>
      <c r="D8" s="12" t="inlineStr">
        <is>
          <t>1. ¿Cómo llegan las solicitudes ARCOP y quién las responde?
2. ¿Cuánto demoran en promedio y cómo verifican la identidad del solicitante?</t>
        </is>
      </c>
      <c r="E8" s="12" t="inlineStr">
        <is>
          <t>Registro de solicitudes ARCOP, procedimiento</t>
        </is>
      </c>
      <c r="F8" s="9" t="n"/>
      <c r="G8" s="9" t="n"/>
      <c r="H8" s="9" t="n"/>
      <c r="I8" s="9" t="n"/>
    </row>
    <row r="9" ht="96" customHeight="1">
      <c r="A9" s="12" t="inlineStr">
        <is>
          <t>D5</t>
        </is>
      </c>
      <c r="B9" s="12" t="inlineStr">
        <is>
          <t>Principios y ciclo de vida del dato</t>
        </is>
      </c>
      <c r="C9" s="12" t="inlineStr">
        <is>
          <t>Dueños de procesos (Comercial, RRHH, Finanzas)</t>
        </is>
      </c>
      <c r="D9" s="12" t="inlineStr">
        <is>
          <t>1. ¿Qué datos piden y para qué los usan?
2. ¿Cuánto tiempo guardan cada categoría y cómo la eliminan?</t>
        </is>
      </c>
      <c r="E9" s="12" t="inlineStr">
        <is>
          <t>Política de retención, evidencia de eliminación</t>
        </is>
      </c>
      <c r="F9" s="9" t="n"/>
      <c r="G9" s="9" t="n"/>
      <c r="H9" s="9" t="n"/>
      <c r="I9" s="9" t="n"/>
    </row>
    <row r="10" ht="96" customHeight="1">
      <c r="A10" s="12" t="inlineStr">
        <is>
          <t>D6</t>
        </is>
      </c>
      <c r="B10" s="12" t="inlineStr">
        <is>
          <t>Datos sensibles, biométricos y de menores</t>
        </is>
      </c>
      <c r="C10" s="12" t="inlineStr">
        <is>
          <t>RRHH y Seguridad</t>
        </is>
      </c>
      <c r="D10" s="12" t="inlineStr">
        <is>
          <t>1. ¿Recolectan datos de salud, licencias médicas o biométricos?
2. ¿Quién accede a ellos?</t>
        </is>
      </c>
      <c r="E10" s="12" t="inlineStr">
        <is>
          <t>Inventario de datos sensibles, controles de acceso</t>
        </is>
      </c>
      <c r="F10" s="9" t="n"/>
      <c r="G10" s="9" t="n"/>
      <c r="H10" s="9" t="n"/>
      <c r="I10" s="9" t="n"/>
    </row>
    <row r="11" ht="96" customHeight="1">
      <c r="A11" s="12" t="inlineStr">
        <is>
          <t>D7</t>
        </is>
      </c>
      <c r="B11" s="12" t="inlineStr">
        <is>
          <t>Evaluación de impacto y privacidad desde el diseño</t>
        </is>
      </c>
      <c r="C11" s="12" t="inlineStr">
        <is>
          <t>Gerencia de TI y de proyectos</t>
        </is>
      </c>
      <c r="D11" s="12" t="inlineStr">
        <is>
          <t>1. ¿Se evalúa la privacidad antes de lanzar un sistema o campaña?
2. ¿Hay EIPD documentada para tratamientos de alto riesgo (videovigilancia, biometría, perfilamiento)?</t>
        </is>
      </c>
      <c r="E11" s="12" t="inlineStr">
        <is>
          <t>EIPD, checklist de privacidad en proyectos</t>
        </is>
      </c>
      <c r="F11" s="9" t="n"/>
      <c r="G11" s="9" t="n"/>
      <c r="H11" s="9" t="n"/>
      <c r="I11" s="9" t="n"/>
    </row>
    <row r="12" ht="96" customHeight="1">
      <c r="A12" s="12" t="inlineStr">
        <is>
          <t>D8</t>
        </is>
      </c>
      <c r="B12" s="12" t="inlineStr">
        <is>
          <t>Seguridad de la información (RBAC, malware, MFA)</t>
        </is>
      </c>
      <c r="C12" s="12" t="inlineStr">
        <is>
          <t>CISO / Jefe de TI</t>
        </is>
      </c>
      <c r="D12" s="12" t="inlineStr">
        <is>
          <t>1. ¿Cómo se gestionan accesos y roles (RBAC)?
2. ¿En qué sistemas hay MFA y qué antivirus o EDR usan?
3. ¿Cuándo fue la última prueba de intrusión?</t>
        </is>
      </c>
      <c r="E12" s="12" t="inlineStr">
        <is>
          <t>Matriz de accesos, reportes EDR, informe de pentest</t>
        </is>
      </c>
      <c r="F12" s="9" t="n"/>
      <c r="G12" s="9" t="n"/>
      <c r="H12" s="9" t="n"/>
      <c r="I12" s="9" t="n"/>
    </row>
    <row r="13" ht="96" customHeight="1">
      <c r="A13" s="12" t="inlineStr">
        <is>
          <t>D9</t>
        </is>
      </c>
      <c r="B13" s="12" t="inlineStr">
        <is>
          <t>Gestión de incidentes, continuidad y DRP</t>
        </is>
      </c>
      <c r="C13" s="12" t="inlineStr">
        <is>
          <t>CISO y Gerencia de Operaciones</t>
        </is>
      </c>
      <c r="D13" s="12" t="inlineStr">
        <is>
          <t>1. ¿Qué pasa si hay una brecha de datos un viernes en la noche?
2. ¿Cuándo fue la última prueba de restauración y del plan de recuperación?</t>
        </is>
      </c>
      <c r="E13" s="12" t="inlineStr">
        <is>
          <t>IRP, registro de simulacros, pruebas de restauración</t>
        </is>
      </c>
      <c r="F13" s="9" t="n"/>
      <c r="G13" s="9" t="n"/>
      <c r="H13" s="9" t="n"/>
      <c r="I13" s="9" t="n"/>
    </row>
    <row r="14" ht="96" customHeight="1">
      <c r="A14" s="12" t="inlineStr">
        <is>
          <t>D10</t>
        </is>
      </c>
      <c r="B14" s="12" t="inlineStr">
        <is>
          <t>Encargados, proveedores y transferencias internacionales</t>
        </is>
      </c>
      <c r="C14" s="12" t="inlineStr">
        <is>
          <t>Compras / Administración</t>
        </is>
      </c>
      <c r="D14" s="12" t="inlineStr">
        <is>
          <t>1. ¿Qué proveedores tratan datos personales?
2. ¿Sus contratos tienen cláusulas de privacidad y eliminación al término? ¿Tienen sub-encargados?</t>
        </is>
      </c>
      <c r="E14" s="12" t="inlineStr">
        <is>
          <t>Contratos, inventario de proveedores</t>
        </is>
      </c>
      <c r="F14" s="9" t="n"/>
      <c r="G14" s="9" t="n"/>
      <c r="H14" s="9" t="n"/>
      <c r="I14" s="9" t="n"/>
    </row>
    <row r="15" ht="96" customHeight="1">
      <c r="A15" s="12" t="inlineStr">
        <is>
          <t>D11</t>
        </is>
      </c>
      <c r="B15" s="12" t="inlineStr">
        <is>
          <t>Capacitación, cultura y phishing</t>
        </is>
      </c>
      <c r="C15" s="12" t="inlineStr">
        <is>
          <t>RRHH y Capacitación</t>
        </is>
      </c>
      <c r="D15" s="12" t="inlineStr">
        <is>
          <t>1. ¿Cuántas personas completaron capacitación en privacidad el último año?
2. ¿Hacen simulacros de phishing y con qué resultados?</t>
        </is>
      </c>
      <c r="E15" s="12" t="inlineStr">
        <is>
          <t>Registro de capacitación, resultados de simulacros</t>
        </is>
      </c>
      <c r="F15" s="9" t="n"/>
      <c r="G15" s="9" t="n"/>
      <c r="H15" s="9" t="n"/>
      <c r="I15" s="9" t="n"/>
    </row>
    <row r="16" ht="96" customHeight="1">
      <c r="A16" s="12" t="inlineStr">
        <is>
          <t>D12</t>
        </is>
      </c>
      <c r="B16" s="12" t="inlineStr">
        <is>
          <t>Auditoría, monitoreo y mejora continua</t>
        </is>
      </c>
      <c r="C16" s="12" t="inlineStr">
        <is>
          <t>Auditoría interna / Gerencia General</t>
        </is>
      </c>
      <c r="D16" s="12" t="inlineStr">
        <is>
          <t>1. ¿Qué indicadores de privacidad se reportan y con qué frecuencia?
2. ¿Existe un plan de auditoría anual?</t>
        </is>
      </c>
      <c r="E16" s="12" t="inlineStr">
        <is>
          <t>Plan de auditoría, informes, indicadores</t>
        </is>
      </c>
      <c r="F16" s="9" t="n"/>
      <c r="G16" s="9" t="n"/>
      <c r="H16" s="9" t="n"/>
      <c r="I16" s="9" t="n"/>
    </row>
    <row r="17" ht="96" customHeight="1">
      <c r="A17" s="12" t="inlineStr">
        <is>
          <t>D13</t>
        </is>
      </c>
      <c r="B17" s="12" t="inlineStr">
        <is>
          <t>Marcos de referencia complementarios (NIST CSF 2.0, CIS, PCI DSS, normativa)</t>
        </is>
      </c>
      <c r="C17" s="12" t="inlineStr">
        <is>
          <t>CISO</t>
        </is>
      </c>
      <c r="D17" s="12" t="inlineStr">
        <is>
          <t>1. ¿Qué marcos utilizan y cuál es su alcance?
2. ¿Cómo se delimita el entorno de pagos (tiendas, bodegas, ecommerce) para PCI DSS?</t>
        </is>
      </c>
      <c r="E17" s="12" t="inlineStr">
        <is>
          <t>Alcance documentado, informes de cumplimiento</t>
        </is>
      </c>
      <c r="F17" s="9" t="n"/>
      <c r="G17" s="9" t="n"/>
      <c r="H17" s="9" t="n"/>
      <c r="I17" s="9" t="n"/>
    </row>
    <row r="18" ht="96" customHeight="1">
      <c r="A18" s="12" t="inlineStr">
        <is>
          <t>D14</t>
        </is>
      </c>
      <c r="B18" s="12" t="inlineStr">
        <is>
          <t>Seguridad física y del entorno</t>
        </is>
      </c>
      <c r="C18" s="12" t="inlineStr">
        <is>
          <t>Jefe de instalaciones y seguridad física</t>
        </is>
      </c>
      <c r="D18" s="12" t="inlineStr">
        <is>
          <t>1. ¿Cómo se controla el acceso a bodegas, oficinas y centros de datos?
2. ¿Hay CCTV y cuánto se retiene la grabación?</t>
        </is>
      </c>
      <c r="E18" s="12" t="inlineStr">
        <is>
          <t>Políticas de acceso físico, retención de CCTV</t>
        </is>
      </c>
      <c r="F18" s="9" t="n"/>
      <c r="G18" s="9" t="n"/>
      <c r="H18" s="9" t="n"/>
      <c r="I18" s="9" t="n"/>
    </row>
    <row r="19" ht="96" customHeight="1">
      <c r="A19" s="12" t="inlineStr">
        <is>
          <t>D15</t>
        </is>
      </c>
      <c r="B19" s="12" t="inlineStr">
        <is>
          <t>Infraestructura, comunicaciones y bases de datos</t>
        </is>
      </c>
      <c r="C19" s="12" t="inlineStr">
        <is>
          <t>Jefe de infraestructura y DBA</t>
        </is>
      </c>
      <c r="D19" s="12" t="inlineStr">
        <is>
          <t>1. ¿Qué bases de datos contienen datos personales y están cifradas?
2. ¿Cómo está segmentada la red?
3. ¿Se prueba la restauración de las bases?</t>
        </is>
      </c>
      <c r="E19" s="12" t="inlineStr">
        <is>
          <t>Inventario de BD, diagramas de red, pruebas de restauración</t>
        </is>
      </c>
      <c r="F19" s="9" t="n"/>
      <c r="G19" s="9" t="n"/>
      <c r="H19" s="9" t="n"/>
      <c r="I19" s="9" t="n"/>
    </row>
    <row r="20" ht="96" customHeight="1">
      <c r="A20" s="12" t="inlineStr">
        <is>
          <t>D16</t>
        </is>
      </c>
      <c r="B20" s="12" t="inlineStr">
        <is>
          <t>Gobierno de TI y procesos (COBIT 5)</t>
        </is>
      </c>
      <c r="C20" s="12" t="inlineStr">
        <is>
          <t>Gerencia de TI / PMO</t>
        </is>
      </c>
      <c r="D20" s="12" t="inlineStr">
        <is>
          <t>1. ¿Cómo se aprueban los cambios en producción?
2. ¿Existe un registro de configuración (CMDB)?</t>
        </is>
      </c>
      <c r="E20" s="12" t="inlineStr">
        <is>
          <t>Procedimiento de cambios, CMDB</t>
        </is>
      </c>
      <c r="F20" s="9" t="n"/>
      <c r="G20" s="9" t="n"/>
      <c r="H20" s="9" t="n"/>
      <c r="I20" s="9" t="n"/>
    </row>
    <row r="21" ht="96" customHeight="1">
      <c r="A21" s="12" t="inlineStr">
        <is>
          <t>D17</t>
        </is>
      </c>
      <c r="B21" s="12" t="inlineStr">
        <is>
          <t>Recursos humanos: candidatos, empleados y expediente</t>
        </is>
      </c>
      <c r="C21" s="12" t="inlineStr">
        <is>
          <t>Gerencia de RRHH</t>
        </is>
      </c>
      <c r="D21" s="12" t="inlineStr">
        <is>
          <t>1. ¿Qué información piden en entrevistas y cuánto guardan los CV de candidatos no contratados?
2. ¿El control de asistencia usa huella o reconocimiento facial? ¿Hay videovigilancia en tiendas o bodegas?
3. ¿Cómo se revocan accesos y se recupera el equipo cuando sale un empleado?</t>
        </is>
      </c>
      <c r="E21" s="12" t="inlineStr">
        <is>
          <t>Contratos tipo, política de retención, expediente, registro de accesos y asistencia</t>
        </is>
      </c>
      <c r="F21" s="9" t="n"/>
      <c r="G21" s="9" t="n"/>
      <c r="H21" s="9" t="n"/>
      <c r="I21" s="9" t="n"/>
    </row>
    <row r="22" ht="96" customHeight="1">
      <c r="A22" s="12" t="inlineStr">
        <is>
          <t>D18</t>
        </is>
      </c>
      <c r="B22" s="12" t="inlineStr">
        <is>
          <t>Clientes, leads, prospectos y marketing</t>
        </is>
      </c>
      <c r="C22" s="12" t="inlineStr">
        <is>
          <t>Gerencia de Marketing y Ecommerce</t>
        </is>
      </c>
      <c r="D22" s="12" t="inlineStr">
        <is>
          <t>1. ¿De dónde vienen las bases de datos de leads y prospectos? ¿Compran listas?
2. ¿Usan cookies o seguimiento de terceros? ¿Hacen perfilamiento?
3. ¿Cómo atienden el opt-out y cuánto conservan leads inactivos?</t>
        </is>
      </c>
      <c r="E22" s="12" t="inlineStr">
        <is>
          <t>Formularios de consentimiento, política de cookies, contratos con proveedores de listas</t>
        </is>
      </c>
      <c r="F22" s="9" t="n"/>
      <c r="G22" s="9" t="n"/>
      <c r="H22" s="9" t="n"/>
      <c r="I22" s="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2:I2"/>
  </mergeCells>
  <dataValidations count="2">
    <dataValidation sqref="I5:I22" showDropDown="0" showInputMessage="0" showErrorMessage="1" allowBlank="1" errorTitle="Puntaje" error="Use 1, 2, 3, 4, 5 o N/A." type="list" errorStyle="stop">
      <formula1>=Listas!$E$2:$E$7</formula1>
    </dataValidation>
    <dataValidation sqref="F5:F22" showDropDown="0" showInputMessage="0" showErrorMessage="1" allowBlank="1" errorTitle="Fecha no válida" error="Ingrese una fecha válida (dd/mm/aaaa) entre 2020 y 2035." type="date" errorStyle="warning" operator="between">
      <formula1>43831</formula1>
      <formula2>49674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29"/>
  <sheetViews>
    <sheetView showGridLines="0" workbookViewId="0">
      <pane ySplit="29" topLeftCell="A30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22" customWidth="1" min="4" max="4"/>
    <col width="24" customWidth="1" min="5" max="5"/>
    <col width="16" customWidth="1" min="6" max="6"/>
    <col width="40" customWidth="1" min="7" max="7"/>
    <col width="36" customWidth="1" min="8" max="8"/>
    <col width="14" customWidth="1" min="9" max="9"/>
    <col width="14" customWidth="1" min="10" max="10"/>
    <col width="36" customWidth="1" min="11" max="11"/>
    <col width="22" customWidth="1" min="12" max="12"/>
  </cols>
  <sheetData>
    <row r="1">
      <c r="A1" s="1" t="inlineStr">
        <is>
          <t>REGISTRO DE ENTREVISTAS Y CONSOLIDACIÓN DEL PUNTAJE POR CONTROL</t>
        </is>
      </c>
    </row>
    <row r="3">
      <c r="A3" s="5" t="inlineStr">
        <is>
          <t>CÓMO SE USA</t>
        </is>
      </c>
    </row>
    <row r="4" ht="30" customHeight="1">
      <c r="A4" s="3" t="inlineStr">
        <is>
          <t>Paso 1</t>
        </is>
      </c>
      <c r="B4" s="6" t="inlineStr">
        <is>
          <t>Registre una fila por entrevista y por control evaluado. No registre una fila por dimensión: un control puede tener varias entrevistas (una por área).</t>
        </is>
      </c>
    </row>
    <row r="5" ht="30" customHeight="1">
      <c r="A5" s="3" t="inlineStr">
        <is>
          <t>Paso 2</t>
        </is>
      </c>
      <c r="B5" s="6" t="inlineStr">
        <is>
          <t>Escriba en 'Lo que afirma el entrevistado' la respuesta resumida, y en 'Evidencia solicitada' el documento o muestra que pidió.</t>
        </is>
      </c>
    </row>
    <row r="6" ht="30" customHeight="1">
      <c r="A6" s="3" t="inlineStr">
        <is>
          <t>Paso 3</t>
        </is>
      </c>
      <c r="B6" s="6" t="inlineStr">
        <is>
          <t>Marque 'Evidencia verificada' en Sí solo si usted revisó el documento o la muestra. Si solo hay una afirmación verbal, marque No.</t>
        </is>
      </c>
    </row>
    <row r="7" ht="30" customHeight="1">
      <c r="A7" s="3" t="inlineStr">
        <is>
          <t>Paso 4</t>
        </is>
      </c>
      <c r="B7" s="6" t="inlineStr">
        <is>
          <t>Asigne el 'Puntaje propuesto' (1 a 5 o N/A) con la escala de la hoja Escala.</t>
        </is>
      </c>
    </row>
    <row r="8" ht="30" customHeight="1">
      <c r="A8" s="3" t="inlineStr">
        <is>
          <t>Paso 5</t>
        </is>
      </c>
      <c r="B8" s="6" t="inlineStr">
        <is>
          <t>El puntaje de cada control aparece solo en la hoja Controles marcos (columna E). No se escribe a mano.</t>
        </is>
      </c>
    </row>
    <row r="9">
      <c r="A9" s="5" t="inlineStr">
        <is>
          <t>POR QUÉ SE USA EL MÍNIMO VERIFICADO</t>
        </is>
      </c>
    </row>
    <row r="10" ht="30" customHeight="1">
      <c r="A10" s="3" t="inlineStr">
        <is>
          <t>Regla</t>
        </is>
      </c>
      <c r="B10" s="6" t="inlineStr">
        <is>
          <t>El puntaje de un control es el MÍNIMO de los puntajes propuestos que tienen evidencia verificada.</t>
        </is>
      </c>
    </row>
    <row r="11" ht="30" customHeight="1">
      <c r="A11" s="3" t="inlineStr">
        <is>
          <t>Razón 1</t>
        </is>
      </c>
      <c r="B11" s="6" t="inlineStr">
        <is>
          <t>Un control vale lo que vale su punto más débil. Si un área dice 4 y otra muestra que el control no opera (1), el promedio daría 2,5 y ocultaría la brecha. El mínimo la muestra.</t>
        </is>
      </c>
    </row>
    <row r="12" ht="30" customHeight="1">
      <c r="A12" s="3" t="inlineStr">
        <is>
          <t>Razón 2</t>
        </is>
      </c>
      <c r="B12" s="6" t="inlineStr">
        <is>
          <t>El promedio premia a quien responde mejor. Con el mínimo, la discrepancia queda visible y se investiga.</t>
        </is>
      </c>
    </row>
    <row r="13" ht="30" customHeight="1">
      <c r="A13" s="3" t="inlineStr">
        <is>
          <t>Razón 3</t>
        </is>
      </c>
      <c r="B13" s="6" t="inlineStr">
        <is>
          <t>Es el criterio con que un regulador o auditor evaluaría: la organización debe demostrar el control, no solo declararlo.</t>
        </is>
      </c>
    </row>
    <row r="14" ht="30" customHeight="1">
      <c r="A14" s="3" t="inlineStr">
        <is>
          <t>Razón 4</t>
        </is>
      </c>
      <c r="B14" s="6" t="inlineStr">
        <is>
          <t>Evita inflar la madurez, que es el sesgo natural de un assessment.</t>
        </is>
      </c>
    </row>
    <row r="15">
      <c r="A15" s="5" t="inlineStr">
        <is>
          <t>REGLAS ADICIONALES</t>
        </is>
      </c>
    </row>
    <row r="16" ht="30" customHeight="1">
      <c r="A16" s="3" t="inlineStr">
        <is>
          <t>Sin evidencia</t>
        </is>
      </c>
      <c r="B16" s="6" t="inlineStr">
        <is>
          <t>Si un control no tiene ninguna evidencia verificada, su puntaje máximo es 3 (Definido), porque no se puede demostrar que opera.</t>
        </is>
      </c>
    </row>
    <row r="17" ht="30" customHeight="1">
      <c r="A17" s="3" t="inlineStr">
        <is>
          <t>N/A y vacíos</t>
        </is>
      </c>
      <c r="B17" s="6" t="inlineStr">
        <is>
          <t>Un N/A no cuenta como puntaje. Un control sin entrevistas queda en blanco y no pesa en el total.</t>
        </is>
      </c>
    </row>
    <row r="18" ht="30" customHeight="1">
      <c r="A18" s="3" t="inlineStr">
        <is>
          <t>Discrepancia</t>
        </is>
      </c>
      <c r="B18" s="6" t="inlineStr">
        <is>
          <t>Si dos puntajes del mismo control difieren en 2 puntos o más, la columna Alerta marca 'Revisar'. Valide con el dueño del proceso antes de cerrar el control.</t>
        </is>
      </c>
    </row>
    <row r="19" ht="30" customHeight="1">
      <c r="A19" s="3" t="inlineStr">
        <is>
          <t>Límite del método</t>
        </is>
      </c>
      <c r="B19" s="6" t="inlineStr">
        <is>
          <t>El mínimo puede ser severo si una entrevista está mal informada. Por eso la alerta exige validación. Una brecha identificada a tiempo es mejor que una madurez inflada.</t>
        </is>
      </c>
    </row>
    <row r="29" ht="42" customHeight="1">
      <c r="A29" s="11" t="inlineStr">
        <is>
          <t>ID entrevista</t>
        </is>
      </c>
      <c r="B29" s="11" t="inlineStr">
        <is>
          <t>Fecha</t>
        </is>
      </c>
      <c r="C29" s="11" t="inlineStr">
        <is>
          <t>Dimensión (D1–D18)</t>
        </is>
      </c>
      <c r="D29" s="11" t="inlineStr">
        <is>
          <t>Área</t>
        </is>
      </c>
      <c r="E29" s="11" t="inlineStr">
        <is>
          <t>Cargo del entrevistado</t>
        </is>
      </c>
      <c r="F29" s="11" t="inlineStr">
        <is>
          <t>Control (ID)</t>
        </is>
      </c>
      <c r="G29" s="11" t="inlineStr">
        <is>
          <t>Lo que afirma el entrevistado</t>
        </is>
      </c>
      <c r="H29" s="11" t="inlineStr">
        <is>
          <t>Evidencia solicitada</t>
        </is>
      </c>
      <c r="I29" s="11" t="inlineStr">
        <is>
          <t>Evidencia verificada (Sí/No)</t>
        </is>
      </c>
      <c r="J29" s="11" t="inlineStr">
        <is>
          <t>Puntaje propuesto (1-5 / N/A)</t>
        </is>
      </c>
      <c r="K29" s="11" t="inlineStr">
        <is>
          <t>Observaciones / discrepancia</t>
        </is>
      </c>
      <c r="L29" s="11" t="inlineStr">
        <is>
          <t>Alerta (automática)</t>
        </is>
      </c>
    </row>
    <row r="30">
      <c r="A30" s="9" t="n"/>
      <c r="B30" s="13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14">
        <f>IF(F30="","",IF(COUNTIF($F$30:$F$229,F30)&lt;2,"",IF(_xlfn.MAXIFS($J$30:$J$229,$F$30:$F$229,F30)-_xlfn.MINIFS($J$30:$J$229,$F$30:$F$229,F30)&gt;=2,"Revisar: discrepancia","")))</f>
        <v/>
      </c>
    </row>
    <row r="31">
      <c r="A31" s="9" t="n"/>
      <c r="B31" s="13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14">
        <f>IF(F31="","",IF(COUNTIF($F$30:$F$229,F31)&lt;2,"",IF(_xlfn.MAXIFS($J$30:$J$229,$F$30:$F$229,F31)-_xlfn.MINIFS($J$30:$J$229,$F$30:$F$229,F31)&gt;=2,"Revisar: discrepancia","")))</f>
        <v/>
      </c>
    </row>
    <row r="32">
      <c r="A32" s="9" t="n"/>
      <c r="B32" s="13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14">
        <f>IF(F32="","",IF(COUNTIF($F$30:$F$229,F32)&lt;2,"",IF(_xlfn.MAXIFS($J$30:$J$229,$F$30:$F$229,F32)-_xlfn.MINIFS($J$30:$J$229,$F$30:$F$229,F32)&gt;=2,"Revisar: discrepancia","")))</f>
        <v/>
      </c>
    </row>
    <row r="33">
      <c r="A33" s="9" t="n"/>
      <c r="B33" s="13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14">
        <f>IF(F33="","",IF(COUNTIF($F$30:$F$229,F33)&lt;2,"",IF(_xlfn.MAXIFS($J$30:$J$229,$F$30:$F$229,F33)-_xlfn.MINIFS($J$30:$J$229,$F$30:$F$229,F33)&gt;=2,"Revisar: discrepancia","")))</f>
        <v/>
      </c>
    </row>
    <row r="34">
      <c r="A34" s="9" t="n"/>
      <c r="B34" s="13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14">
        <f>IF(F34="","",IF(COUNTIF($F$30:$F$229,F34)&lt;2,"",IF(_xlfn.MAXIFS($J$30:$J$229,$F$30:$F$229,F34)-_xlfn.MINIFS($J$30:$J$229,$F$30:$F$229,F34)&gt;=2,"Revisar: discrepancia","")))</f>
        <v/>
      </c>
    </row>
    <row r="35">
      <c r="A35" s="9" t="n"/>
      <c r="B35" s="13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14">
        <f>IF(F35="","",IF(COUNTIF($F$30:$F$229,F35)&lt;2,"",IF(_xlfn.MAXIFS($J$30:$J$229,$F$30:$F$229,F35)-_xlfn.MINIFS($J$30:$J$229,$F$30:$F$229,F35)&gt;=2,"Revisar: discrepancia","")))</f>
        <v/>
      </c>
    </row>
    <row r="36">
      <c r="A36" s="9" t="n"/>
      <c r="B36" s="13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14">
        <f>IF(F36="","",IF(COUNTIF($F$30:$F$229,F36)&lt;2,"",IF(_xlfn.MAXIFS($J$30:$J$229,$F$30:$F$229,F36)-_xlfn.MINIFS($J$30:$J$229,$F$30:$F$229,F36)&gt;=2,"Revisar: discrepancia","")))</f>
        <v/>
      </c>
    </row>
    <row r="37">
      <c r="A37" s="9" t="n"/>
      <c r="B37" s="13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14">
        <f>IF(F37="","",IF(COUNTIF($F$30:$F$229,F37)&lt;2,"",IF(_xlfn.MAXIFS($J$30:$J$229,$F$30:$F$229,F37)-_xlfn.MINIFS($J$30:$J$229,$F$30:$F$229,F37)&gt;=2,"Revisar: discrepancia","")))</f>
        <v/>
      </c>
    </row>
    <row r="38">
      <c r="A38" s="9" t="n"/>
      <c r="B38" s="13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14">
        <f>IF(F38="","",IF(COUNTIF($F$30:$F$229,F38)&lt;2,"",IF(_xlfn.MAXIFS($J$30:$J$229,$F$30:$F$229,F38)-_xlfn.MINIFS($J$30:$J$229,$F$30:$F$229,F38)&gt;=2,"Revisar: discrepancia","")))</f>
        <v/>
      </c>
    </row>
    <row r="39">
      <c r="A39" s="9" t="n"/>
      <c r="B39" s="13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14">
        <f>IF(F39="","",IF(COUNTIF($F$30:$F$229,F39)&lt;2,"",IF(_xlfn.MAXIFS($J$30:$J$229,$F$30:$F$229,F39)-_xlfn.MINIFS($J$30:$J$229,$F$30:$F$229,F39)&gt;=2,"Revisar: discrepancia","")))</f>
        <v/>
      </c>
    </row>
    <row r="40">
      <c r="A40" s="9" t="n"/>
      <c r="B40" s="13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14">
        <f>IF(F40="","",IF(COUNTIF($F$30:$F$229,F40)&lt;2,"",IF(_xlfn.MAXIFS($J$30:$J$229,$F$30:$F$229,F40)-_xlfn.MINIFS($J$30:$J$229,$F$30:$F$229,F40)&gt;=2,"Revisar: discrepancia","")))</f>
        <v/>
      </c>
    </row>
    <row r="41">
      <c r="A41" s="9" t="n"/>
      <c r="B41" s="13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14">
        <f>IF(F41="","",IF(COUNTIF($F$30:$F$229,F41)&lt;2,"",IF(_xlfn.MAXIFS($J$30:$J$229,$F$30:$F$229,F41)-_xlfn.MINIFS($J$30:$J$229,$F$30:$F$229,F41)&gt;=2,"Revisar: discrepancia","")))</f>
        <v/>
      </c>
    </row>
    <row r="42">
      <c r="A42" s="9" t="n"/>
      <c r="B42" s="13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14">
        <f>IF(F42="","",IF(COUNTIF($F$30:$F$229,F42)&lt;2,"",IF(_xlfn.MAXIFS($J$30:$J$229,$F$30:$F$229,F42)-_xlfn.MINIFS($J$30:$J$229,$F$30:$F$229,F42)&gt;=2,"Revisar: discrepancia","")))</f>
        <v/>
      </c>
    </row>
    <row r="43">
      <c r="A43" s="9" t="n"/>
      <c r="B43" s="13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14">
        <f>IF(F43="","",IF(COUNTIF($F$30:$F$229,F43)&lt;2,"",IF(_xlfn.MAXIFS($J$30:$J$229,$F$30:$F$229,F43)-_xlfn.MINIFS($J$30:$J$229,$F$30:$F$229,F43)&gt;=2,"Revisar: discrepancia","")))</f>
        <v/>
      </c>
    </row>
    <row r="44">
      <c r="A44" s="9" t="n"/>
      <c r="B44" s="13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14">
        <f>IF(F44="","",IF(COUNTIF($F$30:$F$229,F44)&lt;2,"",IF(_xlfn.MAXIFS($J$30:$J$229,$F$30:$F$229,F44)-_xlfn.MINIFS($J$30:$J$229,$F$30:$F$229,F44)&gt;=2,"Revisar: discrepancia","")))</f>
        <v/>
      </c>
    </row>
    <row r="45">
      <c r="A45" s="9" t="n"/>
      <c r="B45" s="13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14">
        <f>IF(F45="","",IF(COUNTIF($F$30:$F$229,F45)&lt;2,"",IF(_xlfn.MAXIFS($J$30:$J$229,$F$30:$F$229,F45)-_xlfn.MINIFS($J$30:$J$229,$F$30:$F$229,F45)&gt;=2,"Revisar: discrepancia","")))</f>
        <v/>
      </c>
    </row>
    <row r="46">
      <c r="A46" s="9" t="n"/>
      <c r="B46" s="13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14">
        <f>IF(F46="","",IF(COUNTIF($F$30:$F$229,F46)&lt;2,"",IF(_xlfn.MAXIFS($J$30:$J$229,$F$30:$F$229,F46)-_xlfn.MINIFS($J$30:$J$229,$F$30:$F$229,F46)&gt;=2,"Revisar: discrepancia","")))</f>
        <v/>
      </c>
    </row>
    <row r="47">
      <c r="A47" s="9" t="n"/>
      <c r="B47" s="13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14">
        <f>IF(F47="","",IF(COUNTIF($F$30:$F$229,F47)&lt;2,"",IF(_xlfn.MAXIFS($J$30:$J$229,$F$30:$F$229,F47)-_xlfn.MINIFS($J$30:$J$229,$F$30:$F$229,F47)&gt;=2,"Revisar: discrepancia","")))</f>
        <v/>
      </c>
    </row>
    <row r="48">
      <c r="A48" s="9" t="n"/>
      <c r="B48" s="13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14">
        <f>IF(F48="","",IF(COUNTIF($F$30:$F$229,F48)&lt;2,"",IF(_xlfn.MAXIFS($J$30:$J$229,$F$30:$F$229,F48)-_xlfn.MINIFS($J$30:$J$229,$F$30:$F$229,F48)&gt;=2,"Revisar: discrepancia","")))</f>
        <v/>
      </c>
    </row>
    <row r="49">
      <c r="A49" s="9" t="n"/>
      <c r="B49" s="13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14">
        <f>IF(F49="","",IF(COUNTIF($F$30:$F$229,F49)&lt;2,"",IF(_xlfn.MAXIFS($J$30:$J$229,$F$30:$F$229,F49)-_xlfn.MINIFS($J$30:$J$229,$F$30:$F$229,F49)&gt;=2,"Revisar: discrepancia","")))</f>
        <v/>
      </c>
    </row>
    <row r="50">
      <c r="A50" s="9" t="n"/>
      <c r="B50" s="13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14">
        <f>IF(F50="","",IF(COUNTIF($F$30:$F$229,F50)&lt;2,"",IF(_xlfn.MAXIFS($J$30:$J$229,$F$30:$F$229,F50)-_xlfn.MINIFS($J$30:$J$229,$F$30:$F$229,F50)&gt;=2,"Revisar: discrepancia","")))</f>
        <v/>
      </c>
    </row>
    <row r="51">
      <c r="A51" s="9" t="n"/>
      <c r="B51" s="13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14">
        <f>IF(F51="","",IF(COUNTIF($F$30:$F$229,F51)&lt;2,"",IF(_xlfn.MAXIFS($J$30:$J$229,$F$30:$F$229,F51)-_xlfn.MINIFS($J$30:$J$229,$F$30:$F$229,F51)&gt;=2,"Revisar: discrepancia","")))</f>
        <v/>
      </c>
    </row>
    <row r="52">
      <c r="A52" s="9" t="n"/>
      <c r="B52" s="13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14">
        <f>IF(F52="","",IF(COUNTIF($F$30:$F$229,F52)&lt;2,"",IF(_xlfn.MAXIFS($J$30:$J$229,$F$30:$F$229,F52)-_xlfn.MINIFS($J$30:$J$229,$F$30:$F$229,F52)&gt;=2,"Revisar: discrepancia","")))</f>
        <v/>
      </c>
    </row>
    <row r="53">
      <c r="A53" s="9" t="n"/>
      <c r="B53" s="13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14">
        <f>IF(F53="","",IF(COUNTIF($F$30:$F$229,F53)&lt;2,"",IF(_xlfn.MAXIFS($J$30:$J$229,$F$30:$F$229,F53)-_xlfn.MINIFS($J$30:$J$229,$F$30:$F$229,F53)&gt;=2,"Revisar: discrepancia","")))</f>
        <v/>
      </c>
    </row>
    <row r="54">
      <c r="A54" s="9" t="n"/>
      <c r="B54" s="13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14">
        <f>IF(F54="","",IF(COUNTIF($F$30:$F$229,F54)&lt;2,"",IF(_xlfn.MAXIFS($J$30:$J$229,$F$30:$F$229,F54)-_xlfn.MINIFS($J$30:$J$229,$F$30:$F$229,F54)&gt;=2,"Revisar: discrepancia","")))</f>
        <v/>
      </c>
    </row>
    <row r="55">
      <c r="A55" s="9" t="n"/>
      <c r="B55" s="13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14">
        <f>IF(F55="","",IF(COUNTIF($F$30:$F$229,F55)&lt;2,"",IF(_xlfn.MAXIFS($J$30:$J$229,$F$30:$F$229,F55)-_xlfn.MINIFS($J$30:$J$229,$F$30:$F$229,F55)&gt;=2,"Revisar: discrepancia","")))</f>
        <v/>
      </c>
    </row>
    <row r="56">
      <c r="A56" s="9" t="n"/>
      <c r="B56" s="13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14">
        <f>IF(F56="","",IF(COUNTIF($F$30:$F$229,F56)&lt;2,"",IF(_xlfn.MAXIFS($J$30:$J$229,$F$30:$F$229,F56)-_xlfn.MINIFS($J$30:$J$229,$F$30:$F$229,F56)&gt;=2,"Revisar: discrepancia","")))</f>
        <v/>
      </c>
    </row>
    <row r="57">
      <c r="A57" s="9" t="n"/>
      <c r="B57" s="13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14">
        <f>IF(F57="","",IF(COUNTIF($F$30:$F$229,F57)&lt;2,"",IF(_xlfn.MAXIFS($J$30:$J$229,$F$30:$F$229,F57)-_xlfn.MINIFS($J$30:$J$229,$F$30:$F$229,F57)&gt;=2,"Revisar: discrepancia","")))</f>
        <v/>
      </c>
    </row>
    <row r="58">
      <c r="A58" s="9" t="n"/>
      <c r="B58" s="13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14">
        <f>IF(F58="","",IF(COUNTIF($F$30:$F$229,F58)&lt;2,"",IF(_xlfn.MAXIFS($J$30:$J$229,$F$30:$F$229,F58)-_xlfn.MINIFS($J$30:$J$229,$F$30:$F$229,F58)&gt;=2,"Revisar: discrepancia","")))</f>
        <v/>
      </c>
    </row>
    <row r="59">
      <c r="A59" s="9" t="n"/>
      <c r="B59" s="13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14">
        <f>IF(F59="","",IF(COUNTIF($F$30:$F$229,F59)&lt;2,"",IF(_xlfn.MAXIFS($J$30:$J$229,$F$30:$F$229,F59)-_xlfn.MINIFS($J$30:$J$229,$F$30:$F$229,F59)&gt;=2,"Revisar: discrepancia","")))</f>
        <v/>
      </c>
    </row>
    <row r="60">
      <c r="A60" s="9" t="n"/>
      <c r="B60" s="13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14">
        <f>IF(F60="","",IF(COUNTIF($F$30:$F$229,F60)&lt;2,"",IF(_xlfn.MAXIFS($J$30:$J$229,$F$30:$F$229,F60)-_xlfn.MINIFS($J$30:$J$229,$F$30:$F$229,F60)&gt;=2,"Revisar: discrepancia","")))</f>
        <v/>
      </c>
    </row>
    <row r="61">
      <c r="A61" s="9" t="n"/>
      <c r="B61" s="13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14">
        <f>IF(F61="","",IF(COUNTIF($F$30:$F$229,F61)&lt;2,"",IF(_xlfn.MAXIFS($J$30:$J$229,$F$30:$F$229,F61)-_xlfn.MINIFS($J$30:$J$229,$F$30:$F$229,F61)&gt;=2,"Revisar: discrepancia","")))</f>
        <v/>
      </c>
    </row>
    <row r="62">
      <c r="A62" s="9" t="n"/>
      <c r="B62" s="13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14">
        <f>IF(F62="","",IF(COUNTIF($F$30:$F$229,F62)&lt;2,"",IF(_xlfn.MAXIFS($J$30:$J$229,$F$30:$F$229,F62)-_xlfn.MINIFS($J$30:$J$229,$F$30:$F$229,F62)&gt;=2,"Revisar: discrepancia","")))</f>
        <v/>
      </c>
    </row>
    <row r="63">
      <c r="A63" s="9" t="n"/>
      <c r="B63" s="13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14">
        <f>IF(F63="","",IF(COUNTIF($F$30:$F$229,F63)&lt;2,"",IF(_xlfn.MAXIFS($J$30:$J$229,$F$30:$F$229,F63)-_xlfn.MINIFS($J$30:$J$229,$F$30:$F$229,F63)&gt;=2,"Revisar: discrepancia","")))</f>
        <v/>
      </c>
    </row>
    <row r="64">
      <c r="A64" s="9" t="n"/>
      <c r="B64" s="13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14">
        <f>IF(F64="","",IF(COUNTIF($F$30:$F$229,F64)&lt;2,"",IF(_xlfn.MAXIFS($J$30:$J$229,$F$30:$F$229,F64)-_xlfn.MINIFS($J$30:$J$229,$F$30:$F$229,F64)&gt;=2,"Revisar: discrepancia","")))</f>
        <v/>
      </c>
    </row>
    <row r="65">
      <c r="A65" s="9" t="n"/>
      <c r="B65" s="13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14">
        <f>IF(F65="","",IF(COUNTIF($F$30:$F$229,F65)&lt;2,"",IF(_xlfn.MAXIFS($J$30:$J$229,$F$30:$F$229,F65)-_xlfn.MINIFS($J$30:$J$229,$F$30:$F$229,F65)&gt;=2,"Revisar: discrepancia","")))</f>
        <v/>
      </c>
    </row>
    <row r="66">
      <c r="A66" s="9" t="n"/>
      <c r="B66" s="13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14">
        <f>IF(F66="","",IF(COUNTIF($F$30:$F$229,F66)&lt;2,"",IF(_xlfn.MAXIFS($J$30:$J$229,$F$30:$F$229,F66)-_xlfn.MINIFS($J$30:$J$229,$F$30:$F$229,F66)&gt;=2,"Revisar: discrepancia","")))</f>
        <v/>
      </c>
    </row>
    <row r="67">
      <c r="A67" s="9" t="n"/>
      <c r="B67" s="13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14">
        <f>IF(F67="","",IF(COUNTIF($F$30:$F$229,F67)&lt;2,"",IF(_xlfn.MAXIFS($J$30:$J$229,$F$30:$F$229,F67)-_xlfn.MINIFS($J$30:$J$229,$F$30:$F$229,F67)&gt;=2,"Revisar: discrepancia","")))</f>
        <v/>
      </c>
    </row>
    <row r="68">
      <c r="A68" s="9" t="n"/>
      <c r="B68" s="13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14">
        <f>IF(F68="","",IF(COUNTIF($F$30:$F$229,F68)&lt;2,"",IF(_xlfn.MAXIFS($J$30:$J$229,$F$30:$F$229,F68)-_xlfn.MINIFS($J$30:$J$229,$F$30:$F$229,F68)&gt;=2,"Revisar: discrepancia","")))</f>
        <v/>
      </c>
    </row>
    <row r="69">
      <c r="A69" s="9" t="n"/>
      <c r="B69" s="13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14">
        <f>IF(F69="","",IF(COUNTIF($F$30:$F$229,F69)&lt;2,"",IF(_xlfn.MAXIFS($J$30:$J$229,$F$30:$F$229,F69)-_xlfn.MINIFS($J$30:$J$229,$F$30:$F$229,F69)&gt;=2,"Revisar: discrepancia","")))</f>
        <v/>
      </c>
    </row>
    <row r="70">
      <c r="A70" s="9" t="n"/>
      <c r="B70" s="13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14">
        <f>IF(F70="","",IF(COUNTIF($F$30:$F$229,F70)&lt;2,"",IF(_xlfn.MAXIFS($J$30:$J$229,$F$30:$F$229,F70)-_xlfn.MINIFS($J$30:$J$229,$F$30:$F$229,F70)&gt;=2,"Revisar: discrepancia","")))</f>
        <v/>
      </c>
    </row>
    <row r="71">
      <c r="A71" s="9" t="n"/>
      <c r="B71" s="13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14">
        <f>IF(F71="","",IF(COUNTIF($F$30:$F$229,F71)&lt;2,"",IF(_xlfn.MAXIFS($J$30:$J$229,$F$30:$F$229,F71)-_xlfn.MINIFS($J$30:$J$229,$F$30:$F$229,F71)&gt;=2,"Revisar: discrepancia","")))</f>
        <v/>
      </c>
    </row>
    <row r="72">
      <c r="A72" s="9" t="n"/>
      <c r="B72" s="13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14">
        <f>IF(F72="","",IF(COUNTIF($F$30:$F$229,F72)&lt;2,"",IF(_xlfn.MAXIFS($J$30:$J$229,$F$30:$F$229,F72)-_xlfn.MINIFS($J$30:$J$229,$F$30:$F$229,F72)&gt;=2,"Revisar: discrepancia","")))</f>
        <v/>
      </c>
    </row>
    <row r="73">
      <c r="A73" s="9" t="n"/>
      <c r="B73" s="13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14">
        <f>IF(F73="","",IF(COUNTIF($F$30:$F$229,F73)&lt;2,"",IF(_xlfn.MAXIFS($J$30:$J$229,$F$30:$F$229,F73)-_xlfn.MINIFS($J$30:$J$229,$F$30:$F$229,F73)&gt;=2,"Revisar: discrepancia","")))</f>
        <v/>
      </c>
    </row>
    <row r="74">
      <c r="A74" s="9" t="n"/>
      <c r="B74" s="13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14">
        <f>IF(F74="","",IF(COUNTIF($F$30:$F$229,F74)&lt;2,"",IF(_xlfn.MAXIFS($J$30:$J$229,$F$30:$F$229,F74)-_xlfn.MINIFS($J$30:$J$229,$F$30:$F$229,F74)&gt;=2,"Revisar: discrepancia","")))</f>
        <v/>
      </c>
    </row>
    <row r="75">
      <c r="A75" s="9" t="n"/>
      <c r="B75" s="13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14">
        <f>IF(F75="","",IF(COUNTIF($F$30:$F$229,F75)&lt;2,"",IF(_xlfn.MAXIFS($J$30:$J$229,$F$30:$F$229,F75)-_xlfn.MINIFS($J$30:$J$229,$F$30:$F$229,F75)&gt;=2,"Revisar: discrepancia","")))</f>
        <v/>
      </c>
    </row>
    <row r="76">
      <c r="A76" s="9" t="n"/>
      <c r="B76" s="13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14">
        <f>IF(F76="","",IF(COUNTIF($F$30:$F$229,F76)&lt;2,"",IF(_xlfn.MAXIFS($J$30:$J$229,$F$30:$F$229,F76)-_xlfn.MINIFS($J$30:$J$229,$F$30:$F$229,F76)&gt;=2,"Revisar: discrepancia","")))</f>
        <v/>
      </c>
    </row>
    <row r="77">
      <c r="A77" s="9" t="n"/>
      <c r="B77" s="13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14">
        <f>IF(F77="","",IF(COUNTIF($F$30:$F$229,F77)&lt;2,"",IF(_xlfn.MAXIFS($J$30:$J$229,$F$30:$F$229,F77)-_xlfn.MINIFS($J$30:$J$229,$F$30:$F$229,F77)&gt;=2,"Revisar: discrepancia","")))</f>
        <v/>
      </c>
    </row>
    <row r="78">
      <c r="A78" s="9" t="n"/>
      <c r="B78" s="13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14">
        <f>IF(F78="","",IF(COUNTIF($F$30:$F$229,F78)&lt;2,"",IF(_xlfn.MAXIFS($J$30:$J$229,$F$30:$F$229,F78)-_xlfn.MINIFS($J$30:$J$229,$F$30:$F$229,F78)&gt;=2,"Revisar: discrepancia","")))</f>
        <v/>
      </c>
    </row>
    <row r="79">
      <c r="A79" s="9" t="n"/>
      <c r="B79" s="13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14">
        <f>IF(F79="","",IF(COUNTIF($F$30:$F$229,F79)&lt;2,"",IF(_xlfn.MAXIFS($J$30:$J$229,$F$30:$F$229,F79)-_xlfn.MINIFS($J$30:$J$229,$F$30:$F$229,F79)&gt;=2,"Revisar: discrepancia","")))</f>
        <v/>
      </c>
    </row>
    <row r="80">
      <c r="A80" s="9" t="n"/>
      <c r="B80" s="13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14">
        <f>IF(F80="","",IF(COUNTIF($F$30:$F$229,F80)&lt;2,"",IF(_xlfn.MAXIFS($J$30:$J$229,$F$30:$F$229,F80)-_xlfn.MINIFS($J$30:$J$229,$F$30:$F$229,F80)&gt;=2,"Revisar: discrepancia","")))</f>
        <v/>
      </c>
    </row>
    <row r="81">
      <c r="A81" s="9" t="n"/>
      <c r="B81" s="13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14">
        <f>IF(F81="","",IF(COUNTIF($F$30:$F$229,F81)&lt;2,"",IF(_xlfn.MAXIFS($J$30:$J$229,$F$30:$F$229,F81)-_xlfn.MINIFS($J$30:$J$229,$F$30:$F$229,F81)&gt;=2,"Revisar: discrepancia","")))</f>
        <v/>
      </c>
    </row>
    <row r="82">
      <c r="A82" s="9" t="n"/>
      <c r="B82" s="13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14">
        <f>IF(F82="","",IF(COUNTIF($F$30:$F$229,F82)&lt;2,"",IF(_xlfn.MAXIFS($J$30:$J$229,$F$30:$F$229,F82)-_xlfn.MINIFS($J$30:$J$229,$F$30:$F$229,F82)&gt;=2,"Revisar: discrepancia","")))</f>
        <v/>
      </c>
    </row>
    <row r="83">
      <c r="A83" s="9" t="n"/>
      <c r="B83" s="13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14">
        <f>IF(F83="","",IF(COUNTIF($F$30:$F$229,F83)&lt;2,"",IF(_xlfn.MAXIFS($J$30:$J$229,$F$30:$F$229,F83)-_xlfn.MINIFS($J$30:$J$229,$F$30:$F$229,F83)&gt;=2,"Revisar: discrepancia","")))</f>
        <v/>
      </c>
    </row>
    <row r="84">
      <c r="A84" s="9" t="n"/>
      <c r="B84" s="13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14">
        <f>IF(F84="","",IF(COUNTIF($F$30:$F$229,F84)&lt;2,"",IF(_xlfn.MAXIFS($J$30:$J$229,$F$30:$F$229,F84)-_xlfn.MINIFS($J$30:$J$229,$F$30:$F$229,F84)&gt;=2,"Revisar: discrepancia","")))</f>
        <v/>
      </c>
    </row>
    <row r="85">
      <c r="A85" s="9" t="n"/>
      <c r="B85" s="13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14">
        <f>IF(F85="","",IF(COUNTIF($F$30:$F$229,F85)&lt;2,"",IF(_xlfn.MAXIFS($J$30:$J$229,$F$30:$F$229,F85)-_xlfn.MINIFS($J$30:$J$229,$F$30:$F$229,F85)&gt;=2,"Revisar: discrepancia","")))</f>
        <v/>
      </c>
    </row>
    <row r="86">
      <c r="A86" s="9" t="n"/>
      <c r="B86" s="13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14">
        <f>IF(F86="","",IF(COUNTIF($F$30:$F$229,F86)&lt;2,"",IF(_xlfn.MAXIFS($J$30:$J$229,$F$30:$F$229,F86)-_xlfn.MINIFS($J$30:$J$229,$F$30:$F$229,F86)&gt;=2,"Revisar: discrepancia","")))</f>
        <v/>
      </c>
    </row>
    <row r="87">
      <c r="A87" s="9" t="n"/>
      <c r="B87" s="13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14">
        <f>IF(F87="","",IF(COUNTIF($F$30:$F$229,F87)&lt;2,"",IF(_xlfn.MAXIFS($J$30:$J$229,$F$30:$F$229,F87)-_xlfn.MINIFS($J$30:$J$229,$F$30:$F$229,F87)&gt;=2,"Revisar: discrepancia","")))</f>
        <v/>
      </c>
    </row>
    <row r="88">
      <c r="A88" s="9" t="n"/>
      <c r="B88" s="13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14">
        <f>IF(F88="","",IF(COUNTIF($F$30:$F$229,F88)&lt;2,"",IF(_xlfn.MAXIFS($J$30:$J$229,$F$30:$F$229,F88)-_xlfn.MINIFS($J$30:$J$229,$F$30:$F$229,F88)&gt;=2,"Revisar: discrepancia","")))</f>
        <v/>
      </c>
    </row>
    <row r="89">
      <c r="A89" s="9" t="n"/>
      <c r="B89" s="13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14">
        <f>IF(F89="","",IF(COUNTIF($F$30:$F$229,F89)&lt;2,"",IF(_xlfn.MAXIFS($J$30:$J$229,$F$30:$F$229,F89)-_xlfn.MINIFS($J$30:$J$229,$F$30:$F$229,F89)&gt;=2,"Revisar: discrepancia","")))</f>
        <v/>
      </c>
    </row>
    <row r="90">
      <c r="A90" s="9" t="n"/>
      <c r="B90" s="13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14">
        <f>IF(F90="","",IF(COUNTIF($F$30:$F$229,F90)&lt;2,"",IF(_xlfn.MAXIFS($J$30:$J$229,$F$30:$F$229,F90)-_xlfn.MINIFS($J$30:$J$229,$F$30:$F$229,F90)&gt;=2,"Revisar: discrepancia","")))</f>
        <v/>
      </c>
    </row>
    <row r="91">
      <c r="A91" s="9" t="n"/>
      <c r="B91" s="13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14">
        <f>IF(F91="","",IF(COUNTIF($F$30:$F$229,F91)&lt;2,"",IF(_xlfn.MAXIFS($J$30:$J$229,$F$30:$F$229,F91)-_xlfn.MINIFS($J$30:$J$229,$F$30:$F$229,F91)&gt;=2,"Revisar: discrepancia","")))</f>
        <v/>
      </c>
    </row>
    <row r="92">
      <c r="A92" s="9" t="n"/>
      <c r="B92" s="13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14">
        <f>IF(F92="","",IF(COUNTIF($F$30:$F$229,F92)&lt;2,"",IF(_xlfn.MAXIFS($J$30:$J$229,$F$30:$F$229,F92)-_xlfn.MINIFS($J$30:$J$229,$F$30:$F$229,F92)&gt;=2,"Revisar: discrepancia","")))</f>
        <v/>
      </c>
    </row>
    <row r="93">
      <c r="A93" s="9" t="n"/>
      <c r="B93" s="13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14">
        <f>IF(F93="","",IF(COUNTIF($F$30:$F$229,F93)&lt;2,"",IF(_xlfn.MAXIFS($J$30:$J$229,$F$30:$F$229,F93)-_xlfn.MINIFS($J$30:$J$229,$F$30:$F$229,F93)&gt;=2,"Revisar: discrepancia","")))</f>
        <v/>
      </c>
    </row>
    <row r="94">
      <c r="A94" s="9" t="n"/>
      <c r="B94" s="13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14">
        <f>IF(F94="","",IF(COUNTIF($F$30:$F$229,F94)&lt;2,"",IF(_xlfn.MAXIFS($J$30:$J$229,$F$30:$F$229,F94)-_xlfn.MINIFS($J$30:$J$229,$F$30:$F$229,F94)&gt;=2,"Revisar: discrepancia","")))</f>
        <v/>
      </c>
    </row>
    <row r="95">
      <c r="A95" s="9" t="n"/>
      <c r="B95" s="13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14">
        <f>IF(F95="","",IF(COUNTIF($F$30:$F$229,F95)&lt;2,"",IF(_xlfn.MAXIFS($J$30:$J$229,$F$30:$F$229,F95)-_xlfn.MINIFS($J$30:$J$229,$F$30:$F$229,F95)&gt;=2,"Revisar: discrepancia","")))</f>
        <v/>
      </c>
    </row>
    <row r="96">
      <c r="A96" s="9" t="n"/>
      <c r="B96" s="13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14">
        <f>IF(F96="","",IF(COUNTIF($F$30:$F$229,F96)&lt;2,"",IF(_xlfn.MAXIFS($J$30:$J$229,$F$30:$F$229,F96)-_xlfn.MINIFS($J$30:$J$229,$F$30:$F$229,F96)&gt;=2,"Revisar: discrepancia","")))</f>
        <v/>
      </c>
    </row>
    <row r="97">
      <c r="A97" s="9" t="n"/>
      <c r="B97" s="13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14">
        <f>IF(F97="","",IF(COUNTIF($F$30:$F$229,F97)&lt;2,"",IF(_xlfn.MAXIFS($J$30:$J$229,$F$30:$F$229,F97)-_xlfn.MINIFS($J$30:$J$229,$F$30:$F$229,F97)&gt;=2,"Revisar: discrepancia","")))</f>
        <v/>
      </c>
    </row>
    <row r="98">
      <c r="A98" s="9" t="n"/>
      <c r="B98" s="13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14">
        <f>IF(F98="","",IF(COUNTIF($F$30:$F$229,F98)&lt;2,"",IF(_xlfn.MAXIFS($J$30:$J$229,$F$30:$F$229,F98)-_xlfn.MINIFS($J$30:$J$229,$F$30:$F$229,F98)&gt;=2,"Revisar: discrepancia","")))</f>
        <v/>
      </c>
    </row>
    <row r="99">
      <c r="A99" s="9" t="n"/>
      <c r="B99" s="13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14">
        <f>IF(F99="","",IF(COUNTIF($F$30:$F$229,F99)&lt;2,"",IF(_xlfn.MAXIFS($J$30:$J$229,$F$30:$F$229,F99)-_xlfn.MINIFS($J$30:$J$229,$F$30:$F$229,F99)&gt;=2,"Revisar: discrepancia","")))</f>
        <v/>
      </c>
    </row>
    <row r="100">
      <c r="A100" s="9" t="n"/>
      <c r="B100" s="13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14">
        <f>IF(F100="","",IF(COUNTIF($F$30:$F$229,F100)&lt;2,"",IF(_xlfn.MAXIFS($J$30:$J$229,$F$30:$F$229,F100)-_xlfn.MINIFS($J$30:$J$229,$F$30:$F$229,F100)&gt;=2,"Revisar: discrepancia","")))</f>
        <v/>
      </c>
    </row>
    <row r="101">
      <c r="A101" s="9" t="n"/>
      <c r="B101" s="13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14">
        <f>IF(F101="","",IF(COUNTIF($F$30:$F$229,F101)&lt;2,"",IF(_xlfn.MAXIFS($J$30:$J$229,$F$30:$F$229,F101)-_xlfn.MINIFS($J$30:$J$229,$F$30:$F$229,F101)&gt;=2,"Revisar: discrepancia","")))</f>
        <v/>
      </c>
    </row>
    <row r="102">
      <c r="A102" s="9" t="n"/>
      <c r="B102" s="13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14">
        <f>IF(F102="","",IF(COUNTIF($F$30:$F$229,F102)&lt;2,"",IF(_xlfn.MAXIFS($J$30:$J$229,$F$30:$F$229,F102)-_xlfn.MINIFS($J$30:$J$229,$F$30:$F$229,F102)&gt;=2,"Revisar: discrepancia","")))</f>
        <v/>
      </c>
    </row>
    <row r="103">
      <c r="A103" s="9" t="n"/>
      <c r="B103" s="13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14">
        <f>IF(F103="","",IF(COUNTIF($F$30:$F$229,F103)&lt;2,"",IF(_xlfn.MAXIFS($J$30:$J$229,$F$30:$F$229,F103)-_xlfn.MINIFS($J$30:$J$229,$F$30:$F$229,F103)&gt;=2,"Revisar: discrepancia","")))</f>
        <v/>
      </c>
    </row>
    <row r="104">
      <c r="A104" s="9" t="n"/>
      <c r="B104" s="13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14">
        <f>IF(F104="","",IF(COUNTIF($F$30:$F$229,F104)&lt;2,"",IF(_xlfn.MAXIFS($J$30:$J$229,$F$30:$F$229,F104)-_xlfn.MINIFS($J$30:$J$229,$F$30:$F$229,F104)&gt;=2,"Revisar: discrepancia","")))</f>
        <v/>
      </c>
    </row>
    <row r="105">
      <c r="A105" s="9" t="n"/>
      <c r="B105" s="13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14">
        <f>IF(F105="","",IF(COUNTIF($F$30:$F$229,F105)&lt;2,"",IF(_xlfn.MAXIFS($J$30:$J$229,$F$30:$F$229,F105)-_xlfn.MINIFS($J$30:$J$229,$F$30:$F$229,F105)&gt;=2,"Revisar: discrepancia","")))</f>
        <v/>
      </c>
    </row>
    <row r="106">
      <c r="A106" s="9" t="n"/>
      <c r="B106" s="13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14">
        <f>IF(F106="","",IF(COUNTIF($F$30:$F$229,F106)&lt;2,"",IF(_xlfn.MAXIFS($J$30:$J$229,$F$30:$F$229,F106)-_xlfn.MINIFS($J$30:$J$229,$F$30:$F$229,F106)&gt;=2,"Revisar: discrepancia","")))</f>
        <v/>
      </c>
    </row>
    <row r="107">
      <c r="A107" s="9" t="n"/>
      <c r="B107" s="13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14">
        <f>IF(F107="","",IF(COUNTIF($F$30:$F$229,F107)&lt;2,"",IF(_xlfn.MAXIFS($J$30:$J$229,$F$30:$F$229,F107)-_xlfn.MINIFS($J$30:$J$229,$F$30:$F$229,F107)&gt;=2,"Revisar: discrepancia","")))</f>
        <v/>
      </c>
    </row>
    <row r="108">
      <c r="A108" s="9" t="n"/>
      <c r="B108" s="13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14">
        <f>IF(F108="","",IF(COUNTIF($F$30:$F$229,F108)&lt;2,"",IF(_xlfn.MAXIFS($J$30:$J$229,$F$30:$F$229,F108)-_xlfn.MINIFS($J$30:$J$229,$F$30:$F$229,F108)&gt;=2,"Revisar: discrepancia","")))</f>
        <v/>
      </c>
    </row>
    <row r="109">
      <c r="A109" s="9" t="n"/>
      <c r="B109" s="13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14">
        <f>IF(F109="","",IF(COUNTIF($F$30:$F$229,F109)&lt;2,"",IF(_xlfn.MAXIFS($J$30:$J$229,$F$30:$F$229,F109)-_xlfn.MINIFS($J$30:$J$229,$F$30:$F$229,F109)&gt;=2,"Revisar: discrepancia","")))</f>
        <v/>
      </c>
    </row>
    <row r="110">
      <c r="A110" s="9" t="n"/>
      <c r="B110" s="13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14">
        <f>IF(F110="","",IF(COUNTIF($F$30:$F$229,F110)&lt;2,"",IF(_xlfn.MAXIFS($J$30:$J$229,$F$30:$F$229,F110)-_xlfn.MINIFS($J$30:$J$229,$F$30:$F$229,F110)&gt;=2,"Revisar: discrepancia","")))</f>
        <v/>
      </c>
    </row>
    <row r="111">
      <c r="A111" s="9" t="n"/>
      <c r="B111" s="13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14">
        <f>IF(F111="","",IF(COUNTIF($F$30:$F$229,F111)&lt;2,"",IF(_xlfn.MAXIFS($J$30:$J$229,$F$30:$F$229,F111)-_xlfn.MINIFS($J$30:$J$229,$F$30:$F$229,F111)&gt;=2,"Revisar: discrepancia","")))</f>
        <v/>
      </c>
    </row>
    <row r="112">
      <c r="A112" s="9" t="n"/>
      <c r="B112" s="13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14">
        <f>IF(F112="","",IF(COUNTIF($F$30:$F$229,F112)&lt;2,"",IF(_xlfn.MAXIFS($J$30:$J$229,$F$30:$F$229,F112)-_xlfn.MINIFS($J$30:$J$229,$F$30:$F$229,F112)&gt;=2,"Revisar: discrepancia","")))</f>
        <v/>
      </c>
    </row>
    <row r="113">
      <c r="A113" s="9" t="n"/>
      <c r="B113" s="13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14">
        <f>IF(F113="","",IF(COUNTIF($F$30:$F$229,F113)&lt;2,"",IF(_xlfn.MAXIFS($J$30:$J$229,$F$30:$F$229,F113)-_xlfn.MINIFS($J$30:$J$229,$F$30:$F$229,F113)&gt;=2,"Revisar: discrepancia","")))</f>
        <v/>
      </c>
    </row>
    <row r="114">
      <c r="A114" s="9" t="n"/>
      <c r="B114" s="13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14">
        <f>IF(F114="","",IF(COUNTIF($F$30:$F$229,F114)&lt;2,"",IF(_xlfn.MAXIFS($J$30:$J$229,$F$30:$F$229,F114)-_xlfn.MINIFS($J$30:$J$229,$F$30:$F$229,F114)&gt;=2,"Revisar: discrepancia","")))</f>
        <v/>
      </c>
    </row>
    <row r="115">
      <c r="A115" s="9" t="n"/>
      <c r="B115" s="13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14">
        <f>IF(F115="","",IF(COUNTIF($F$30:$F$229,F115)&lt;2,"",IF(_xlfn.MAXIFS($J$30:$J$229,$F$30:$F$229,F115)-_xlfn.MINIFS($J$30:$J$229,$F$30:$F$229,F115)&gt;=2,"Revisar: discrepancia","")))</f>
        <v/>
      </c>
    </row>
    <row r="116">
      <c r="A116" s="9" t="n"/>
      <c r="B116" s="13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14">
        <f>IF(F116="","",IF(COUNTIF($F$30:$F$229,F116)&lt;2,"",IF(_xlfn.MAXIFS($J$30:$J$229,$F$30:$F$229,F116)-_xlfn.MINIFS($J$30:$J$229,$F$30:$F$229,F116)&gt;=2,"Revisar: discrepancia","")))</f>
        <v/>
      </c>
    </row>
    <row r="117">
      <c r="A117" s="9" t="n"/>
      <c r="B117" s="13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14">
        <f>IF(F117="","",IF(COUNTIF($F$30:$F$229,F117)&lt;2,"",IF(_xlfn.MAXIFS($J$30:$J$229,$F$30:$F$229,F117)-_xlfn.MINIFS($J$30:$J$229,$F$30:$F$229,F117)&gt;=2,"Revisar: discrepancia","")))</f>
        <v/>
      </c>
    </row>
    <row r="118">
      <c r="A118" s="9" t="n"/>
      <c r="B118" s="13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14">
        <f>IF(F118="","",IF(COUNTIF($F$30:$F$229,F118)&lt;2,"",IF(_xlfn.MAXIFS($J$30:$J$229,$F$30:$F$229,F118)-_xlfn.MINIFS($J$30:$J$229,$F$30:$F$229,F118)&gt;=2,"Revisar: discrepancia","")))</f>
        <v/>
      </c>
    </row>
    <row r="119">
      <c r="A119" s="9" t="n"/>
      <c r="B119" s="13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14">
        <f>IF(F119="","",IF(COUNTIF($F$30:$F$229,F119)&lt;2,"",IF(_xlfn.MAXIFS($J$30:$J$229,$F$30:$F$229,F119)-_xlfn.MINIFS($J$30:$J$229,$F$30:$F$229,F119)&gt;=2,"Revisar: discrepancia","")))</f>
        <v/>
      </c>
    </row>
    <row r="120">
      <c r="A120" s="9" t="n"/>
      <c r="B120" s="13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14">
        <f>IF(F120="","",IF(COUNTIF($F$30:$F$229,F120)&lt;2,"",IF(_xlfn.MAXIFS($J$30:$J$229,$F$30:$F$229,F120)-_xlfn.MINIFS($J$30:$J$229,$F$30:$F$229,F120)&gt;=2,"Revisar: discrepancia","")))</f>
        <v/>
      </c>
    </row>
    <row r="121">
      <c r="A121" s="9" t="n"/>
      <c r="B121" s="13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14">
        <f>IF(F121="","",IF(COUNTIF($F$30:$F$229,F121)&lt;2,"",IF(_xlfn.MAXIFS($J$30:$J$229,$F$30:$F$229,F121)-_xlfn.MINIFS($J$30:$J$229,$F$30:$F$229,F121)&gt;=2,"Revisar: discrepancia","")))</f>
        <v/>
      </c>
    </row>
    <row r="122">
      <c r="A122" s="9" t="n"/>
      <c r="B122" s="13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14">
        <f>IF(F122="","",IF(COUNTIF($F$30:$F$229,F122)&lt;2,"",IF(_xlfn.MAXIFS($J$30:$J$229,$F$30:$F$229,F122)-_xlfn.MINIFS($J$30:$J$229,$F$30:$F$229,F122)&gt;=2,"Revisar: discrepancia","")))</f>
        <v/>
      </c>
    </row>
    <row r="123">
      <c r="A123" s="9" t="n"/>
      <c r="B123" s="13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14">
        <f>IF(F123="","",IF(COUNTIF($F$30:$F$229,F123)&lt;2,"",IF(_xlfn.MAXIFS($J$30:$J$229,$F$30:$F$229,F123)-_xlfn.MINIFS($J$30:$J$229,$F$30:$F$229,F123)&gt;=2,"Revisar: discrepancia","")))</f>
        <v/>
      </c>
    </row>
    <row r="124">
      <c r="A124" s="9" t="n"/>
      <c r="B124" s="13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14">
        <f>IF(F124="","",IF(COUNTIF($F$30:$F$229,F124)&lt;2,"",IF(_xlfn.MAXIFS($J$30:$J$229,$F$30:$F$229,F124)-_xlfn.MINIFS($J$30:$J$229,$F$30:$F$229,F124)&gt;=2,"Revisar: discrepancia","")))</f>
        <v/>
      </c>
    </row>
    <row r="125">
      <c r="A125" s="9" t="n"/>
      <c r="B125" s="13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14">
        <f>IF(F125="","",IF(COUNTIF($F$30:$F$229,F125)&lt;2,"",IF(_xlfn.MAXIFS($J$30:$J$229,$F$30:$F$229,F125)-_xlfn.MINIFS($J$30:$J$229,$F$30:$F$229,F125)&gt;=2,"Revisar: discrepancia","")))</f>
        <v/>
      </c>
    </row>
    <row r="126">
      <c r="A126" s="9" t="n"/>
      <c r="B126" s="13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14">
        <f>IF(F126="","",IF(COUNTIF($F$30:$F$229,F126)&lt;2,"",IF(_xlfn.MAXIFS($J$30:$J$229,$F$30:$F$229,F126)-_xlfn.MINIFS($J$30:$J$229,$F$30:$F$229,F126)&gt;=2,"Revisar: discrepancia","")))</f>
        <v/>
      </c>
    </row>
    <row r="127">
      <c r="A127" s="9" t="n"/>
      <c r="B127" s="13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14">
        <f>IF(F127="","",IF(COUNTIF($F$30:$F$229,F127)&lt;2,"",IF(_xlfn.MAXIFS($J$30:$J$229,$F$30:$F$229,F127)-_xlfn.MINIFS($J$30:$J$229,$F$30:$F$229,F127)&gt;=2,"Revisar: discrepancia","")))</f>
        <v/>
      </c>
    </row>
    <row r="128">
      <c r="A128" s="9" t="n"/>
      <c r="B128" s="13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14">
        <f>IF(F128="","",IF(COUNTIF($F$30:$F$229,F128)&lt;2,"",IF(_xlfn.MAXIFS($J$30:$J$229,$F$30:$F$229,F128)-_xlfn.MINIFS($J$30:$J$229,$F$30:$F$229,F128)&gt;=2,"Revisar: discrepancia","")))</f>
        <v/>
      </c>
    </row>
    <row r="129">
      <c r="A129" s="9" t="n"/>
      <c r="B129" s="13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14">
        <f>IF(F129="","",IF(COUNTIF($F$30:$F$229,F129)&lt;2,"",IF(_xlfn.MAXIFS($J$30:$J$229,$F$30:$F$229,F129)-_xlfn.MINIFS($J$30:$J$229,$F$30:$F$229,F129)&gt;=2,"Revisar: discrepancia","")))</f>
        <v/>
      </c>
    </row>
    <row r="130">
      <c r="A130" s="9" t="n"/>
      <c r="B130" s="13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14">
        <f>IF(F130="","",IF(COUNTIF($F$30:$F$229,F130)&lt;2,"",IF(_xlfn.MAXIFS($J$30:$J$229,$F$30:$F$229,F130)-_xlfn.MINIFS($J$30:$J$229,$F$30:$F$229,F130)&gt;=2,"Revisar: discrepancia","")))</f>
        <v/>
      </c>
    </row>
    <row r="131">
      <c r="A131" s="9" t="n"/>
      <c r="B131" s="13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14">
        <f>IF(F131="","",IF(COUNTIF($F$30:$F$229,F131)&lt;2,"",IF(_xlfn.MAXIFS($J$30:$J$229,$F$30:$F$229,F131)-_xlfn.MINIFS($J$30:$J$229,$F$30:$F$229,F131)&gt;=2,"Revisar: discrepancia","")))</f>
        <v/>
      </c>
    </row>
    <row r="132">
      <c r="A132" s="9" t="n"/>
      <c r="B132" s="13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14">
        <f>IF(F132="","",IF(COUNTIF($F$30:$F$229,F132)&lt;2,"",IF(_xlfn.MAXIFS($J$30:$J$229,$F$30:$F$229,F132)-_xlfn.MINIFS($J$30:$J$229,$F$30:$F$229,F132)&gt;=2,"Revisar: discrepancia","")))</f>
        <v/>
      </c>
    </row>
    <row r="133">
      <c r="A133" s="9" t="n"/>
      <c r="B133" s="13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14">
        <f>IF(F133="","",IF(COUNTIF($F$30:$F$229,F133)&lt;2,"",IF(_xlfn.MAXIFS($J$30:$J$229,$F$30:$F$229,F133)-_xlfn.MINIFS($J$30:$J$229,$F$30:$F$229,F133)&gt;=2,"Revisar: discrepancia","")))</f>
        <v/>
      </c>
    </row>
    <row r="134">
      <c r="A134" s="9" t="n"/>
      <c r="B134" s="13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14">
        <f>IF(F134="","",IF(COUNTIF($F$30:$F$229,F134)&lt;2,"",IF(_xlfn.MAXIFS($J$30:$J$229,$F$30:$F$229,F134)-_xlfn.MINIFS($J$30:$J$229,$F$30:$F$229,F134)&gt;=2,"Revisar: discrepancia","")))</f>
        <v/>
      </c>
    </row>
    <row r="135">
      <c r="A135" s="9" t="n"/>
      <c r="B135" s="13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14">
        <f>IF(F135="","",IF(COUNTIF($F$30:$F$229,F135)&lt;2,"",IF(_xlfn.MAXIFS($J$30:$J$229,$F$30:$F$229,F135)-_xlfn.MINIFS($J$30:$J$229,$F$30:$F$229,F135)&gt;=2,"Revisar: discrepancia","")))</f>
        <v/>
      </c>
    </row>
    <row r="136">
      <c r="A136" s="9" t="n"/>
      <c r="B136" s="13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14">
        <f>IF(F136="","",IF(COUNTIF($F$30:$F$229,F136)&lt;2,"",IF(_xlfn.MAXIFS($J$30:$J$229,$F$30:$F$229,F136)-_xlfn.MINIFS($J$30:$J$229,$F$30:$F$229,F136)&gt;=2,"Revisar: discrepancia","")))</f>
        <v/>
      </c>
    </row>
    <row r="137">
      <c r="A137" s="9" t="n"/>
      <c r="B137" s="13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14">
        <f>IF(F137="","",IF(COUNTIF($F$30:$F$229,F137)&lt;2,"",IF(_xlfn.MAXIFS($J$30:$J$229,$F$30:$F$229,F137)-_xlfn.MINIFS($J$30:$J$229,$F$30:$F$229,F137)&gt;=2,"Revisar: discrepancia","")))</f>
        <v/>
      </c>
    </row>
    <row r="138">
      <c r="A138" s="9" t="n"/>
      <c r="B138" s="13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14">
        <f>IF(F138="","",IF(COUNTIF($F$30:$F$229,F138)&lt;2,"",IF(_xlfn.MAXIFS($J$30:$J$229,$F$30:$F$229,F138)-_xlfn.MINIFS($J$30:$J$229,$F$30:$F$229,F138)&gt;=2,"Revisar: discrepancia","")))</f>
        <v/>
      </c>
    </row>
    <row r="139">
      <c r="A139" s="9" t="n"/>
      <c r="B139" s="13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14">
        <f>IF(F139="","",IF(COUNTIF($F$30:$F$229,F139)&lt;2,"",IF(_xlfn.MAXIFS($J$30:$J$229,$F$30:$F$229,F139)-_xlfn.MINIFS($J$30:$J$229,$F$30:$F$229,F139)&gt;=2,"Revisar: discrepancia","")))</f>
        <v/>
      </c>
    </row>
    <row r="140">
      <c r="A140" s="9" t="n"/>
      <c r="B140" s="13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14">
        <f>IF(F140="","",IF(COUNTIF($F$30:$F$229,F140)&lt;2,"",IF(_xlfn.MAXIFS($J$30:$J$229,$F$30:$F$229,F140)-_xlfn.MINIFS($J$30:$J$229,$F$30:$F$229,F140)&gt;=2,"Revisar: discrepancia","")))</f>
        <v/>
      </c>
    </row>
    <row r="141">
      <c r="A141" s="9" t="n"/>
      <c r="B141" s="13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14">
        <f>IF(F141="","",IF(COUNTIF($F$30:$F$229,F141)&lt;2,"",IF(_xlfn.MAXIFS($J$30:$J$229,$F$30:$F$229,F141)-_xlfn.MINIFS($J$30:$J$229,$F$30:$F$229,F141)&gt;=2,"Revisar: discrepancia","")))</f>
        <v/>
      </c>
    </row>
    <row r="142">
      <c r="A142" s="9" t="n"/>
      <c r="B142" s="13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14">
        <f>IF(F142="","",IF(COUNTIF($F$30:$F$229,F142)&lt;2,"",IF(_xlfn.MAXIFS($J$30:$J$229,$F$30:$F$229,F142)-_xlfn.MINIFS($J$30:$J$229,$F$30:$F$229,F142)&gt;=2,"Revisar: discrepancia","")))</f>
        <v/>
      </c>
    </row>
    <row r="143">
      <c r="A143" s="9" t="n"/>
      <c r="B143" s="13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14">
        <f>IF(F143="","",IF(COUNTIF($F$30:$F$229,F143)&lt;2,"",IF(_xlfn.MAXIFS($J$30:$J$229,$F$30:$F$229,F143)-_xlfn.MINIFS($J$30:$J$229,$F$30:$F$229,F143)&gt;=2,"Revisar: discrepancia","")))</f>
        <v/>
      </c>
    </row>
    <row r="144">
      <c r="A144" s="9" t="n"/>
      <c r="B144" s="13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14">
        <f>IF(F144="","",IF(COUNTIF($F$30:$F$229,F144)&lt;2,"",IF(_xlfn.MAXIFS($J$30:$J$229,$F$30:$F$229,F144)-_xlfn.MINIFS($J$30:$J$229,$F$30:$F$229,F144)&gt;=2,"Revisar: discrepancia","")))</f>
        <v/>
      </c>
    </row>
    <row r="145">
      <c r="A145" s="9" t="n"/>
      <c r="B145" s="13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14">
        <f>IF(F145="","",IF(COUNTIF($F$30:$F$229,F145)&lt;2,"",IF(_xlfn.MAXIFS($J$30:$J$229,$F$30:$F$229,F145)-_xlfn.MINIFS($J$30:$J$229,$F$30:$F$229,F145)&gt;=2,"Revisar: discrepancia","")))</f>
        <v/>
      </c>
    </row>
    <row r="146">
      <c r="A146" s="9" t="n"/>
      <c r="B146" s="13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14">
        <f>IF(F146="","",IF(COUNTIF($F$30:$F$229,F146)&lt;2,"",IF(_xlfn.MAXIFS($J$30:$J$229,$F$30:$F$229,F146)-_xlfn.MINIFS($J$30:$J$229,$F$30:$F$229,F146)&gt;=2,"Revisar: discrepancia","")))</f>
        <v/>
      </c>
    </row>
    <row r="147">
      <c r="A147" s="9" t="n"/>
      <c r="B147" s="13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14">
        <f>IF(F147="","",IF(COUNTIF($F$30:$F$229,F147)&lt;2,"",IF(_xlfn.MAXIFS($J$30:$J$229,$F$30:$F$229,F147)-_xlfn.MINIFS($J$30:$J$229,$F$30:$F$229,F147)&gt;=2,"Revisar: discrepancia","")))</f>
        <v/>
      </c>
    </row>
    <row r="148">
      <c r="A148" s="9" t="n"/>
      <c r="B148" s="13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14">
        <f>IF(F148="","",IF(COUNTIF($F$30:$F$229,F148)&lt;2,"",IF(_xlfn.MAXIFS($J$30:$J$229,$F$30:$F$229,F148)-_xlfn.MINIFS($J$30:$J$229,$F$30:$F$229,F148)&gt;=2,"Revisar: discrepancia","")))</f>
        <v/>
      </c>
    </row>
    <row r="149">
      <c r="A149" s="9" t="n"/>
      <c r="B149" s="13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14">
        <f>IF(F149="","",IF(COUNTIF($F$30:$F$229,F149)&lt;2,"",IF(_xlfn.MAXIFS($J$30:$J$229,$F$30:$F$229,F149)-_xlfn.MINIFS($J$30:$J$229,$F$30:$F$229,F149)&gt;=2,"Revisar: discrepancia","")))</f>
        <v/>
      </c>
    </row>
    <row r="150">
      <c r="A150" s="9" t="n"/>
      <c r="B150" s="13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14">
        <f>IF(F150="","",IF(COUNTIF($F$30:$F$229,F150)&lt;2,"",IF(_xlfn.MAXIFS($J$30:$J$229,$F$30:$F$229,F150)-_xlfn.MINIFS($J$30:$J$229,$F$30:$F$229,F150)&gt;=2,"Revisar: discrepancia","")))</f>
        <v/>
      </c>
    </row>
    <row r="151">
      <c r="A151" s="9" t="n"/>
      <c r="B151" s="13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14">
        <f>IF(F151="","",IF(COUNTIF($F$30:$F$229,F151)&lt;2,"",IF(_xlfn.MAXIFS($J$30:$J$229,$F$30:$F$229,F151)-_xlfn.MINIFS($J$30:$J$229,$F$30:$F$229,F151)&gt;=2,"Revisar: discrepancia","")))</f>
        <v/>
      </c>
    </row>
    <row r="152">
      <c r="A152" s="9" t="n"/>
      <c r="B152" s="13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14">
        <f>IF(F152="","",IF(COUNTIF($F$30:$F$229,F152)&lt;2,"",IF(_xlfn.MAXIFS($J$30:$J$229,$F$30:$F$229,F152)-_xlfn.MINIFS($J$30:$J$229,$F$30:$F$229,F152)&gt;=2,"Revisar: discrepancia","")))</f>
        <v/>
      </c>
    </row>
    <row r="153">
      <c r="A153" s="9" t="n"/>
      <c r="B153" s="13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14">
        <f>IF(F153="","",IF(COUNTIF($F$30:$F$229,F153)&lt;2,"",IF(_xlfn.MAXIFS($J$30:$J$229,$F$30:$F$229,F153)-_xlfn.MINIFS($J$30:$J$229,$F$30:$F$229,F153)&gt;=2,"Revisar: discrepancia","")))</f>
        <v/>
      </c>
    </row>
    <row r="154">
      <c r="A154" s="9" t="n"/>
      <c r="B154" s="13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14">
        <f>IF(F154="","",IF(COUNTIF($F$30:$F$229,F154)&lt;2,"",IF(_xlfn.MAXIFS($J$30:$J$229,$F$30:$F$229,F154)-_xlfn.MINIFS($J$30:$J$229,$F$30:$F$229,F154)&gt;=2,"Revisar: discrepancia","")))</f>
        <v/>
      </c>
    </row>
    <row r="155">
      <c r="A155" s="9" t="n"/>
      <c r="B155" s="13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14">
        <f>IF(F155="","",IF(COUNTIF($F$30:$F$229,F155)&lt;2,"",IF(_xlfn.MAXIFS($J$30:$J$229,$F$30:$F$229,F155)-_xlfn.MINIFS($J$30:$J$229,$F$30:$F$229,F155)&gt;=2,"Revisar: discrepancia","")))</f>
        <v/>
      </c>
    </row>
    <row r="156">
      <c r="A156" s="9" t="n"/>
      <c r="B156" s="13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14">
        <f>IF(F156="","",IF(COUNTIF($F$30:$F$229,F156)&lt;2,"",IF(_xlfn.MAXIFS($J$30:$J$229,$F$30:$F$229,F156)-_xlfn.MINIFS($J$30:$J$229,$F$30:$F$229,F156)&gt;=2,"Revisar: discrepancia","")))</f>
        <v/>
      </c>
    </row>
    <row r="157">
      <c r="A157" s="9" t="n"/>
      <c r="B157" s="13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14">
        <f>IF(F157="","",IF(COUNTIF($F$30:$F$229,F157)&lt;2,"",IF(_xlfn.MAXIFS($J$30:$J$229,$F$30:$F$229,F157)-_xlfn.MINIFS($J$30:$J$229,$F$30:$F$229,F157)&gt;=2,"Revisar: discrepancia","")))</f>
        <v/>
      </c>
    </row>
    <row r="158">
      <c r="A158" s="9" t="n"/>
      <c r="B158" s="13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14">
        <f>IF(F158="","",IF(COUNTIF($F$30:$F$229,F158)&lt;2,"",IF(_xlfn.MAXIFS($J$30:$J$229,$F$30:$F$229,F158)-_xlfn.MINIFS($J$30:$J$229,$F$30:$F$229,F158)&gt;=2,"Revisar: discrepancia","")))</f>
        <v/>
      </c>
    </row>
    <row r="159">
      <c r="A159" s="9" t="n"/>
      <c r="B159" s="13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14">
        <f>IF(F159="","",IF(COUNTIF($F$30:$F$229,F159)&lt;2,"",IF(_xlfn.MAXIFS($J$30:$J$229,$F$30:$F$229,F159)-_xlfn.MINIFS($J$30:$J$229,$F$30:$F$229,F159)&gt;=2,"Revisar: discrepancia","")))</f>
        <v/>
      </c>
    </row>
    <row r="160">
      <c r="A160" s="9" t="n"/>
      <c r="B160" s="13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14">
        <f>IF(F160="","",IF(COUNTIF($F$30:$F$229,F160)&lt;2,"",IF(_xlfn.MAXIFS($J$30:$J$229,$F$30:$F$229,F160)-_xlfn.MINIFS($J$30:$J$229,$F$30:$F$229,F160)&gt;=2,"Revisar: discrepancia","")))</f>
        <v/>
      </c>
    </row>
    <row r="161">
      <c r="A161" s="9" t="n"/>
      <c r="B161" s="13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14">
        <f>IF(F161="","",IF(COUNTIF($F$30:$F$229,F161)&lt;2,"",IF(_xlfn.MAXIFS($J$30:$J$229,$F$30:$F$229,F161)-_xlfn.MINIFS($J$30:$J$229,$F$30:$F$229,F161)&gt;=2,"Revisar: discrepancia","")))</f>
        <v/>
      </c>
    </row>
    <row r="162">
      <c r="A162" s="9" t="n"/>
      <c r="B162" s="13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14">
        <f>IF(F162="","",IF(COUNTIF($F$30:$F$229,F162)&lt;2,"",IF(_xlfn.MAXIFS($J$30:$J$229,$F$30:$F$229,F162)-_xlfn.MINIFS($J$30:$J$229,$F$30:$F$229,F162)&gt;=2,"Revisar: discrepancia","")))</f>
        <v/>
      </c>
    </row>
    <row r="163">
      <c r="A163" s="9" t="n"/>
      <c r="B163" s="13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14">
        <f>IF(F163="","",IF(COUNTIF($F$30:$F$229,F163)&lt;2,"",IF(_xlfn.MAXIFS($J$30:$J$229,$F$30:$F$229,F163)-_xlfn.MINIFS($J$30:$J$229,$F$30:$F$229,F163)&gt;=2,"Revisar: discrepancia","")))</f>
        <v/>
      </c>
    </row>
    <row r="164">
      <c r="A164" s="9" t="n"/>
      <c r="B164" s="13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14">
        <f>IF(F164="","",IF(COUNTIF($F$30:$F$229,F164)&lt;2,"",IF(_xlfn.MAXIFS($J$30:$J$229,$F$30:$F$229,F164)-_xlfn.MINIFS($J$30:$J$229,$F$30:$F$229,F164)&gt;=2,"Revisar: discrepancia","")))</f>
        <v/>
      </c>
    </row>
    <row r="165">
      <c r="A165" s="9" t="n"/>
      <c r="B165" s="13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14">
        <f>IF(F165="","",IF(COUNTIF($F$30:$F$229,F165)&lt;2,"",IF(_xlfn.MAXIFS($J$30:$J$229,$F$30:$F$229,F165)-_xlfn.MINIFS($J$30:$J$229,$F$30:$F$229,F165)&gt;=2,"Revisar: discrepancia","")))</f>
        <v/>
      </c>
    </row>
    <row r="166">
      <c r="A166" s="9" t="n"/>
      <c r="B166" s="13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14">
        <f>IF(F166="","",IF(COUNTIF($F$30:$F$229,F166)&lt;2,"",IF(_xlfn.MAXIFS($J$30:$J$229,$F$30:$F$229,F166)-_xlfn.MINIFS($J$30:$J$229,$F$30:$F$229,F166)&gt;=2,"Revisar: discrepancia","")))</f>
        <v/>
      </c>
    </row>
    <row r="167">
      <c r="A167" s="9" t="n"/>
      <c r="B167" s="13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14">
        <f>IF(F167="","",IF(COUNTIF($F$30:$F$229,F167)&lt;2,"",IF(_xlfn.MAXIFS($J$30:$J$229,$F$30:$F$229,F167)-_xlfn.MINIFS($J$30:$J$229,$F$30:$F$229,F167)&gt;=2,"Revisar: discrepancia","")))</f>
        <v/>
      </c>
    </row>
    <row r="168">
      <c r="A168" s="9" t="n"/>
      <c r="B168" s="13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14">
        <f>IF(F168="","",IF(COUNTIF($F$30:$F$229,F168)&lt;2,"",IF(_xlfn.MAXIFS($J$30:$J$229,$F$30:$F$229,F168)-_xlfn.MINIFS($J$30:$J$229,$F$30:$F$229,F168)&gt;=2,"Revisar: discrepancia","")))</f>
        <v/>
      </c>
    </row>
    <row r="169">
      <c r="A169" s="9" t="n"/>
      <c r="B169" s="13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14">
        <f>IF(F169="","",IF(COUNTIF($F$30:$F$229,F169)&lt;2,"",IF(_xlfn.MAXIFS($J$30:$J$229,$F$30:$F$229,F169)-_xlfn.MINIFS($J$30:$J$229,$F$30:$F$229,F169)&gt;=2,"Revisar: discrepancia","")))</f>
        <v/>
      </c>
    </row>
    <row r="170">
      <c r="A170" s="9" t="n"/>
      <c r="B170" s="13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14">
        <f>IF(F170="","",IF(COUNTIF($F$30:$F$229,F170)&lt;2,"",IF(_xlfn.MAXIFS($J$30:$J$229,$F$30:$F$229,F170)-_xlfn.MINIFS($J$30:$J$229,$F$30:$F$229,F170)&gt;=2,"Revisar: discrepancia","")))</f>
        <v/>
      </c>
    </row>
    <row r="171">
      <c r="A171" s="9" t="n"/>
      <c r="B171" s="13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14">
        <f>IF(F171="","",IF(COUNTIF($F$30:$F$229,F171)&lt;2,"",IF(_xlfn.MAXIFS($J$30:$J$229,$F$30:$F$229,F171)-_xlfn.MINIFS($J$30:$J$229,$F$30:$F$229,F171)&gt;=2,"Revisar: discrepancia","")))</f>
        <v/>
      </c>
    </row>
    <row r="172">
      <c r="A172" s="9" t="n"/>
      <c r="B172" s="13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14">
        <f>IF(F172="","",IF(COUNTIF($F$30:$F$229,F172)&lt;2,"",IF(_xlfn.MAXIFS($J$30:$J$229,$F$30:$F$229,F172)-_xlfn.MINIFS($J$30:$J$229,$F$30:$F$229,F172)&gt;=2,"Revisar: discrepancia","")))</f>
        <v/>
      </c>
    </row>
    <row r="173">
      <c r="A173" s="9" t="n"/>
      <c r="B173" s="13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14">
        <f>IF(F173="","",IF(COUNTIF($F$30:$F$229,F173)&lt;2,"",IF(_xlfn.MAXIFS($J$30:$J$229,$F$30:$F$229,F173)-_xlfn.MINIFS($J$30:$J$229,$F$30:$F$229,F173)&gt;=2,"Revisar: discrepancia","")))</f>
        <v/>
      </c>
    </row>
    <row r="174">
      <c r="A174" s="9" t="n"/>
      <c r="B174" s="13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14">
        <f>IF(F174="","",IF(COUNTIF($F$30:$F$229,F174)&lt;2,"",IF(_xlfn.MAXIFS($J$30:$J$229,$F$30:$F$229,F174)-_xlfn.MINIFS($J$30:$J$229,$F$30:$F$229,F174)&gt;=2,"Revisar: discrepancia","")))</f>
        <v/>
      </c>
    </row>
    <row r="175">
      <c r="A175" s="9" t="n"/>
      <c r="B175" s="13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14">
        <f>IF(F175="","",IF(COUNTIF($F$30:$F$229,F175)&lt;2,"",IF(_xlfn.MAXIFS($J$30:$J$229,$F$30:$F$229,F175)-_xlfn.MINIFS($J$30:$J$229,$F$30:$F$229,F175)&gt;=2,"Revisar: discrepancia","")))</f>
        <v/>
      </c>
    </row>
    <row r="176">
      <c r="A176" s="9" t="n"/>
      <c r="B176" s="13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14">
        <f>IF(F176="","",IF(COUNTIF($F$30:$F$229,F176)&lt;2,"",IF(_xlfn.MAXIFS($J$30:$J$229,$F$30:$F$229,F176)-_xlfn.MINIFS($J$30:$J$229,$F$30:$F$229,F176)&gt;=2,"Revisar: discrepancia","")))</f>
        <v/>
      </c>
    </row>
    <row r="177">
      <c r="A177" s="9" t="n"/>
      <c r="B177" s="13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14">
        <f>IF(F177="","",IF(COUNTIF($F$30:$F$229,F177)&lt;2,"",IF(_xlfn.MAXIFS($J$30:$J$229,$F$30:$F$229,F177)-_xlfn.MINIFS($J$30:$J$229,$F$30:$F$229,F177)&gt;=2,"Revisar: discrepancia","")))</f>
        <v/>
      </c>
    </row>
    <row r="178">
      <c r="A178" s="9" t="n"/>
      <c r="B178" s="13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14">
        <f>IF(F178="","",IF(COUNTIF($F$30:$F$229,F178)&lt;2,"",IF(_xlfn.MAXIFS($J$30:$J$229,$F$30:$F$229,F178)-_xlfn.MINIFS($J$30:$J$229,$F$30:$F$229,F178)&gt;=2,"Revisar: discrepancia","")))</f>
        <v/>
      </c>
    </row>
    <row r="179">
      <c r="A179" s="9" t="n"/>
      <c r="B179" s="13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14">
        <f>IF(F179="","",IF(COUNTIF($F$30:$F$229,F179)&lt;2,"",IF(_xlfn.MAXIFS($J$30:$J$229,$F$30:$F$229,F179)-_xlfn.MINIFS($J$30:$J$229,$F$30:$F$229,F179)&gt;=2,"Revisar: discrepancia","")))</f>
        <v/>
      </c>
    </row>
    <row r="180">
      <c r="A180" s="9" t="n"/>
      <c r="B180" s="13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14">
        <f>IF(F180="","",IF(COUNTIF($F$30:$F$229,F180)&lt;2,"",IF(_xlfn.MAXIFS($J$30:$J$229,$F$30:$F$229,F180)-_xlfn.MINIFS($J$30:$J$229,$F$30:$F$229,F180)&gt;=2,"Revisar: discrepancia","")))</f>
        <v/>
      </c>
    </row>
    <row r="181">
      <c r="A181" s="9" t="n"/>
      <c r="B181" s="13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14">
        <f>IF(F181="","",IF(COUNTIF($F$30:$F$229,F181)&lt;2,"",IF(_xlfn.MAXIFS($J$30:$J$229,$F$30:$F$229,F181)-_xlfn.MINIFS($J$30:$J$229,$F$30:$F$229,F181)&gt;=2,"Revisar: discrepancia","")))</f>
        <v/>
      </c>
    </row>
    <row r="182">
      <c r="A182" s="9" t="n"/>
      <c r="B182" s="13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14">
        <f>IF(F182="","",IF(COUNTIF($F$30:$F$229,F182)&lt;2,"",IF(_xlfn.MAXIFS($J$30:$J$229,$F$30:$F$229,F182)-_xlfn.MINIFS($J$30:$J$229,$F$30:$F$229,F182)&gt;=2,"Revisar: discrepancia","")))</f>
        <v/>
      </c>
    </row>
    <row r="183">
      <c r="A183" s="9" t="n"/>
      <c r="B183" s="13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14">
        <f>IF(F183="","",IF(COUNTIF($F$30:$F$229,F183)&lt;2,"",IF(_xlfn.MAXIFS($J$30:$J$229,$F$30:$F$229,F183)-_xlfn.MINIFS($J$30:$J$229,$F$30:$F$229,F183)&gt;=2,"Revisar: discrepancia","")))</f>
        <v/>
      </c>
    </row>
    <row r="184">
      <c r="A184" s="9" t="n"/>
      <c r="B184" s="13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14">
        <f>IF(F184="","",IF(COUNTIF($F$30:$F$229,F184)&lt;2,"",IF(_xlfn.MAXIFS($J$30:$J$229,$F$30:$F$229,F184)-_xlfn.MINIFS($J$30:$J$229,$F$30:$F$229,F184)&gt;=2,"Revisar: discrepancia","")))</f>
        <v/>
      </c>
    </row>
    <row r="185">
      <c r="A185" s="9" t="n"/>
      <c r="B185" s="13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14">
        <f>IF(F185="","",IF(COUNTIF($F$30:$F$229,F185)&lt;2,"",IF(_xlfn.MAXIFS($J$30:$J$229,$F$30:$F$229,F185)-_xlfn.MINIFS($J$30:$J$229,$F$30:$F$229,F185)&gt;=2,"Revisar: discrepancia","")))</f>
        <v/>
      </c>
    </row>
    <row r="186">
      <c r="A186" s="9" t="n"/>
      <c r="B186" s="13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14">
        <f>IF(F186="","",IF(COUNTIF($F$30:$F$229,F186)&lt;2,"",IF(_xlfn.MAXIFS($J$30:$J$229,$F$30:$F$229,F186)-_xlfn.MINIFS($J$30:$J$229,$F$30:$F$229,F186)&gt;=2,"Revisar: discrepancia","")))</f>
        <v/>
      </c>
    </row>
    <row r="187">
      <c r="A187" s="9" t="n"/>
      <c r="B187" s="13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14">
        <f>IF(F187="","",IF(COUNTIF($F$30:$F$229,F187)&lt;2,"",IF(_xlfn.MAXIFS($J$30:$J$229,$F$30:$F$229,F187)-_xlfn.MINIFS($J$30:$J$229,$F$30:$F$229,F187)&gt;=2,"Revisar: discrepancia","")))</f>
        <v/>
      </c>
    </row>
    <row r="188">
      <c r="A188" s="9" t="n"/>
      <c r="B188" s="13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14">
        <f>IF(F188="","",IF(COUNTIF($F$30:$F$229,F188)&lt;2,"",IF(_xlfn.MAXIFS($J$30:$J$229,$F$30:$F$229,F188)-_xlfn.MINIFS($J$30:$J$229,$F$30:$F$229,F188)&gt;=2,"Revisar: discrepancia","")))</f>
        <v/>
      </c>
    </row>
    <row r="189">
      <c r="A189" s="9" t="n"/>
      <c r="B189" s="13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14">
        <f>IF(F189="","",IF(COUNTIF($F$30:$F$229,F189)&lt;2,"",IF(_xlfn.MAXIFS($J$30:$J$229,$F$30:$F$229,F189)-_xlfn.MINIFS($J$30:$J$229,$F$30:$F$229,F189)&gt;=2,"Revisar: discrepancia","")))</f>
        <v/>
      </c>
    </row>
    <row r="190">
      <c r="A190" s="9" t="n"/>
      <c r="B190" s="13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14">
        <f>IF(F190="","",IF(COUNTIF($F$30:$F$229,F190)&lt;2,"",IF(_xlfn.MAXIFS($J$30:$J$229,$F$30:$F$229,F190)-_xlfn.MINIFS($J$30:$J$229,$F$30:$F$229,F190)&gt;=2,"Revisar: discrepancia","")))</f>
        <v/>
      </c>
    </row>
    <row r="191">
      <c r="A191" s="9" t="n"/>
      <c r="B191" s="13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14">
        <f>IF(F191="","",IF(COUNTIF($F$30:$F$229,F191)&lt;2,"",IF(_xlfn.MAXIFS($J$30:$J$229,$F$30:$F$229,F191)-_xlfn.MINIFS($J$30:$J$229,$F$30:$F$229,F191)&gt;=2,"Revisar: discrepancia","")))</f>
        <v/>
      </c>
    </row>
    <row r="192">
      <c r="A192" s="9" t="n"/>
      <c r="B192" s="13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14">
        <f>IF(F192="","",IF(COUNTIF($F$30:$F$229,F192)&lt;2,"",IF(_xlfn.MAXIFS($J$30:$J$229,$F$30:$F$229,F192)-_xlfn.MINIFS($J$30:$J$229,$F$30:$F$229,F192)&gt;=2,"Revisar: discrepancia","")))</f>
        <v/>
      </c>
    </row>
    <row r="193">
      <c r="A193" s="9" t="n"/>
      <c r="B193" s="13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14">
        <f>IF(F193="","",IF(COUNTIF($F$30:$F$229,F193)&lt;2,"",IF(_xlfn.MAXIFS($J$30:$J$229,$F$30:$F$229,F193)-_xlfn.MINIFS($J$30:$J$229,$F$30:$F$229,F193)&gt;=2,"Revisar: discrepancia","")))</f>
        <v/>
      </c>
    </row>
    <row r="194">
      <c r="A194" s="9" t="n"/>
      <c r="B194" s="13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14">
        <f>IF(F194="","",IF(COUNTIF($F$30:$F$229,F194)&lt;2,"",IF(_xlfn.MAXIFS($J$30:$J$229,$F$30:$F$229,F194)-_xlfn.MINIFS($J$30:$J$229,$F$30:$F$229,F194)&gt;=2,"Revisar: discrepancia","")))</f>
        <v/>
      </c>
    </row>
    <row r="195">
      <c r="A195" s="9" t="n"/>
      <c r="B195" s="13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14">
        <f>IF(F195="","",IF(COUNTIF($F$30:$F$229,F195)&lt;2,"",IF(_xlfn.MAXIFS($J$30:$J$229,$F$30:$F$229,F195)-_xlfn.MINIFS($J$30:$J$229,$F$30:$F$229,F195)&gt;=2,"Revisar: discrepancia","")))</f>
        <v/>
      </c>
    </row>
    <row r="196">
      <c r="A196" s="9" t="n"/>
      <c r="B196" s="13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14">
        <f>IF(F196="","",IF(COUNTIF($F$30:$F$229,F196)&lt;2,"",IF(_xlfn.MAXIFS($J$30:$J$229,$F$30:$F$229,F196)-_xlfn.MINIFS($J$30:$J$229,$F$30:$F$229,F196)&gt;=2,"Revisar: discrepancia","")))</f>
        <v/>
      </c>
    </row>
    <row r="197">
      <c r="A197" s="9" t="n"/>
      <c r="B197" s="13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14">
        <f>IF(F197="","",IF(COUNTIF($F$30:$F$229,F197)&lt;2,"",IF(_xlfn.MAXIFS($J$30:$J$229,$F$30:$F$229,F197)-_xlfn.MINIFS($J$30:$J$229,$F$30:$F$229,F197)&gt;=2,"Revisar: discrepancia","")))</f>
        <v/>
      </c>
    </row>
    <row r="198">
      <c r="A198" s="9" t="n"/>
      <c r="B198" s="13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14">
        <f>IF(F198="","",IF(COUNTIF($F$30:$F$229,F198)&lt;2,"",IF(_xlfn.MAXIFS($J$30:$J$229,$F$30:$F$229,F198)-_xlfn.MINIFS($J$30:$J$229,$F$30:$F$229,F198)&gt;=2,"Revisar: discrepancia","")))</f>
        <v/>
      </c>
    </row>
    <row r="199">
      <c r="A199" s="9" t="n"/>
      <c r="B199" s="13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14">
        <f>IF(F199="","",IF(COUNTIF($F$30:$F$229,F199)&lt;2,"",IF(_xlfn.MAXIFS($J$30:$J$229,$F$30:$F$229,F199)-_xlfn.MINIFS($J$30:$J$229,$F$30:$F$229,F199)&gt;=2,"Revisar: discrepancia","")))</f>
        <v/>
      </c>
    </row>
    <row r="200">
      <c r="A200" s="9" t="n"/>
      <c r="B200" s="13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14">
        <f>IF(F200="","",IF(COUNTIF($F$30:$F$229,F200)&lt;2,"",IF(_xlfn.MAXIFS($J$30:$J$229,$F$30:$F$229,F200)-_xlfn.MINIFS($J$30:$J$229,$F$30:$F$229,F200)&gt;=2,"Revisar: discrepancia","")))</f>
        <v/>
      </c>
    </row>
    <row r="201">
      <c r="A201" s="9" t="n"/>
      <c r="B201" s="13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14">
        <f>IF(F201="","",IF(COUNTIF($F$30:$F$229,F201)&lt;2,"",IF(_xlfn.MAXIFS($J$30:$J$229,$F$30:$F$229,F201)-_xlfn.MINIFS($J$30:$J$229,$F$30:$F$229,F201)&gt;=2,"Revisar: discrepancia","")))</f>
        <v/>
      </c>
    </row>
    <row r="202">
      <c r="A202" s="9" t="n"/>
      <c r="B202" s="13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14">
        <f>IF(F202="","",IF(COUNTIF($F$30:$F$229,F202)&lt;2,"",IF(_xlfn.MAXIFS($J$30:$J$229,$F$30:$F$229,F202)-_xlfn.MINIFS($J$30:$J$229,$F$30:$F$229,F202)&gt;=2,"Revisar: discrepancia","")))</f>
        <v/>
      </c>
    </row>
    <row r="203">
      <c r="A203" s="9" t="n"/>
      <c r="B203" s="13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14">
        <f>IF(F203="","",IF(COUNTIF($F$30:$F$229,F203)&lt;2,"",IF(_xlfn.MAXIFS($J$30:$J$229,$F$30:$F$229,F203)-_xlfn.MINIFS($J$30:$J$229,$F$30:$F$229,F203)&gt;=2,"Revisar: discrepancia","")))</f>
        <v/>
      </c>
    </row>
    <row r="204">
      <c r="A204" s="9" t="n"/>
      <c r="B204" s="13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14">
        <f>IF(F204="","",IF(COUNTIF($F$30:$F$229,F204)&lt;2,"",IF(_xlfn.MAXIFS($J$30:$J$229,$F$30:$F$229,F204)-_xlfn.MINIFS($J$30:$J$229,$F$30:$F$229,F204)&gt;=2,"Revisar: discrepancia","")))</f>
        <v/>
      </c>
    </row>
    <row r="205">
      <c r="A205" s="9" t="n"/>
      <c r="B205" s="13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14">
        <f>IF(F205="","",IF(COUNTIF($F$30:$F$229,F205)&lt;2,"",IF(_xlfn.MAXIFS($J$30:$J$229,$F$30:$F$229,F205)-_xlfn.MINIFS($J$30:$J$229,$F$30:$F$229,F205)&gt;=2,"Revisar: discrepancia","")))</f>
        <v/>
      </c>
    </row>
    <row r="206">
      <c r="A206" s="9" t="n"/>
      <c r="B206" s="13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14">
        <f>IF(F206="","",IF(COUNTIF($F$30:$F$229,F206)&lt;2,"",IF(_xlfn.MAXIFS($J$30:$J$229,$F$30:$F$229,F206)-_xlfn.MINIFS($J$30:$J$229,$F$30:$F$229,F206)&gt;=2,"Revisar: discrepancia","")))</f>
        <v/>
      </c>
    </row>
    <row r="207">
      <c r="A207" s="9" t="n"/>
      <c r="B207" s="13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14">
        <f>IF(F207="","",IF(COUNTIF($F$30:$F$229,F207)&lt;2,"",IF(_xlfn.MAXIFS($J$30:$J$229,$F$30:$F$229,F207)-_xlfn.MINIFS($J$30:$J$229,$F$30:$F$229,F207)&gt;=2,"Revisar: discrepancia","")))</f>
        <v/>
      </c>
    </row>
    <row r="208">
      <c r="A208" s="9" t="n"/>
      <c r="B208" s="13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14">
        <f>IF(F208="","",IF(COUNTIF($F$30:$F$229,F208)&lt;2,"",IF(_xlfn.MAXIFS($J$30:$J$229,$F$30:$F$229,F208)-_xlfn.MINIFS($J$30:$J$229,$F$30:$F$229,F208)&gt;=2,"Revisar: discrepancia","")))</f>
        <v/>
      </c>
    </row>
    <row r="209">
      <c r="A209" s="9" t="n"/>
      <c r="B209" s="13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14">
        <f>IF(F209="","",IF(COUNTIF($F$30:$F$229,F209)&lt;2,"",IF(_xlfn.MAXIFS($J$30:$J$229,$F$30:$F$229,F209)-_xlfn.MINIFS($J$30:$J$229,$F$30:$F$229,F209)&gt;=2,"Revisar: discrepancia","")))</f>
        <v/>
      </c>
    </row>
    <row r="210">
      <c r="A210" s="9" t="n"/>
      <c r="B210" s="13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14">
        <f>IF(F210="","",IF(COUNTIF($F$30:$F$229,F210)&lt;2,"",IF(_xlfn.MAXIFS($J$30:$J$229,$F$30:$F$229,F210)-_xlfn.MINIFS($J$30:$J$229,$F$30:$F$229,F210)&gt;=2,"Revisar: discrepancia","")))</f>
        <v/>
      </c>
    </row>
    <row r="211">
      <c r="A211" s="9" t="n"/>
      <c r="B211" s="13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14">
        <f>IF(F211="","",IF(COUNTIF($F$30:$F$229,F211)&lt;2,"",IF(_xlfn.MAXIFS($J$30:$J$229,$F$30:$F$229,F211)-_xlfn.MINIFS($J$30:$J$229,$F$30:$F$229,F211)&gt;=2,"Revisar: discrepancia","")))</f>
        <v/>
      </c>
    </row>
    <row r="212">
      <c r="A212" s="9" t="n"/>
      <c r="B212" s="13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14">
        <f>IF(F212="","",IF(COUNTIF($F$30:$F$229,F212)&lt;2,"",IF(_xlfn.MAXIFS($J$30:$J$229,$F$30:$F$229,F212)-_xlfn.MINIFS($J$30:$J$229,$F$30:$F$229,F212)&gt;=2,"Revisar: discrepancia","")))</f>
        <v/>
      </c>
    </row>
    <row r="213">
      <c r="A213" s="9" t="n"/>
      <c r="B213" s="13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14">
        <f>IF(F213="","",IF(COUNTIF($F$30:$F$229,F213)&lt;2,"",IF(_xlfn.MAXIFS($J$30:$J$229,$F$30:$F$229,F213)-_xlfn.MINIFS($J$30:$J$229,$F$30:$F$229,F213)&gt;=2,"Revisar: discrepancia","")))</f>
        <v/>
      </c>
    </row>
    <row r="214">
      <c r="A214" s="9" t="n"/>
      <c r="B214" s="13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14">
        <f>IF(F214="","",IF(COUNTIF($F$30:$F$229,F214)&lt;2,"",IF(_xlfn.MAXIFS($J$30:$J$229,$F$30:$F$229,F214)-_xlfn.MINIFS($J$30:$J$229,$F$30:$F$229,F214)&gt;=2,"Revisar: discrepancia","")))</f>
        <v/>
      </c>
    </row>
    <row r="215">
      <c r="A215" s="9" t="n"/>
      <c r="B215" s="13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14">
        <f>IF(F215="","",IF(COUNTIF($F$30:$F$229,F215)&lt;2,"",IF(_xlfn.MAXIFS($J$30:$J$229,$F$30:$F$229,F215)-_xlfn.MINIFS($J$30:$J$229,$F$30:$F$229,F215)&gt;=2,"Revisar: discrepancia","")))</f>
        <v/>
      </c>
    </row>
    <row r="216">
      <c r="A216" s="9" t="n"/>
      <c r="B216" s="13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14">
        <f>IF(F216="","",IF(COUNTIF($F$30:$F$229,F216)&lt;2,"",IF(_xlfn.MAXIFS($J$30:$J$229,$F$30:$F$229,F216)-_xlfn.MINIFS($J$30:$J$229,$F$30:$F$229,F216)&gt;=2,"Revisar: discrepancia","")))</f>
        <v/>
      </c>
    </row>
    <row r="217">
      <c r="A217" s="9" t="n"/>
      <c r="B217" s="13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14">
        <f>IF(F217="","",IF(COUNTIF($F$30:$F$229,F217)&lt;2,"",IF(_xlfn.MAXIFS($J$30:$J$229,$F$30:$F$229,F217)-_xlfn.MINIFS($J$30:$J$229,$F$30:$F$229,F217)&gt;=2,"Revisar: discrepancia","")))</f>
        <v/>
      </c>
    </row>
    <row r="218">
      <c r="A218" s="9" t="n"/>
      <c r="B218" s="13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14">
        <f>IF(F218="","",IF(COUNTIF($F$30:$F$229,F218)&lt;2,"",IF(_xlfn.MAXIFS($J$30:$J$229,$F$30:$F$229,F218)-_xlfn.MINIFS($J$30:$J$229,$F$30:$F$229,F218)&gt;=2,"Revisar: discrepancia","")))</f>
        <v/>
      </c>
    </row>
    <row r="219">
      <c r="A219" s="9" t="n"/>
      <c r="B219" s="13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14">
        <f>IF(F219="","",IF(COUNTIF($F$30:$F$229,F219)&lt;2,"",IF(_xlfn.MAXIFS($J$30:$J$229,$F$30:$F$229,F219)-_xlfn.MINIFS($J$30:$J$229,$F$30:$F$229,F219)&gt;=2,"Revisar: discrepancia","")))</f>
        <v/>
      </c>
    </row>
    <row r="220">
      <c r="A220" s="9" t="n"/>
      <c r="B220" s="13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14">
        <f>IF(F220="","",IF(COUNTIF($F$30:$F$229,F220)&lt;2,"",IF(_xlfn.MAXIFS($J$30:$J$229,$F$30:$F$229,F220)-_xlfn.MINIFS($J$30:$J$229,$F$30:$F$229,F220)&gt;=2,"Revisar: discrepancia","")))</f>
        <v/>
      </c>
    </row>
    <row r="221">
      <c r="A221" s="9" t="n"/>
      <c r="B221" s="13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14">
        <f>IF(F221="","",IF(COUNTIF($F$30:$F$229,F221)&lt;2,"",IF(_xlfn.MAXIFS($J$30:$J$229,$F$30:$F$229,F221)-_xlfn.MINIFS($J$30:$J$229,$F$30:$F$229,F221)&gt;=2,"Revisar: discrepancia","")))</f>
        <v/>
      </c>
    </row>
    <row r="222">
      <c r="A222" s="9" t="n"/>
      <c r="B222" s="13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14">
        <f>IF(F222="","",IF(COUNTIF($F$30:$F$229,F222)&lt;2,"",IF(_xlfn.MAXIFS($J$30:$J$229,$F$30:$F$229,F222)-_xlfn.MINIFS($J$30:$J$229,$F$30:$F$229,F222)&gt;=2,"Revisar: discrepancia","")))</f>
        <v/>
      </c>
    </row>
    <row r="223">
      <c r="A223" s="9" t="n"/>
      <c r="B223" s="13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14">
        <f>IF(F223="","",IF(COUNTIF($F$30:$F$229,F223)&lt;2,"",IF(_xlfn.MAXIFS($J$30:$J$229,$F$30:$F$229,F223)-_xlfn.MINIFS($J$30:$J$229,$F$30:$F$229,F223)&gt;=2,"Revisar: discrepancia","")))</f>
        <v/>
      </c>
    </row>
    <row r="224">
      <c r="A224" s="9" t="n"/>
      <c r="B224" s="13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14">
        <f>IF(F224="","",IF(COUNTIF($F$30:$F$229,F224)&lt;2,"",IF(_xlfn.MAXIFS($J$30:$J$229,$F$30:$F$229,F224)-_xlfn.MINIFS($J$30:$J$229,$F$30:$F$229,F224)&gt;=2,"Revisar: discrepancia","")))</f>
        <v/>
      </c>
    </row>
    <row r="225">
      <c r="A225" s="9" t="n"/>
      <c r="B225" s="13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14">
        <f>IF(F225="","",IF(COUNTIF($F$30:$F$229,F225)&lt;2,"",IF(_xlfn.MAXIFS($J$30:$J$229,$F$30:$F$229,F225)-_xlfn.MINIFS($J$30:$J$229,$F$30:$F$229,F225)&gt;=2,"Revisar: discrepancia","")))</f>
        <v/>
      </c>
    </row>
    <row r="226">
      <c r="A226" s="9" t="n"/>
      <c r="B226" s="13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14">
        <f>IF(F226="","",IF(COUNTIF($F$30:$F$229,F226)&lt;2,"",IF(_xlfn.MAXIFS($J$30:$J$229,$F$30:$F$229,F226)-_xlfn.MINIFS($J$30:$J$229,$F$30:$F$229,F226)&gt;=2,"Revisar: discrepancia","")))</f>
        <v/>
      </c>
    </row>
    <row r="227">
      <c r="A227" s="9" t="n"/>
      <c r="B227" s="13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14">
        <f>IF(F227="","",IF(COUNTIF($F$30:$F$229,F227)&lt;2,"",IF(_xlfn.MAXIFS($J$30:$J$229,$F$30:$F$229,F227)-_xlfn.MINIFS($J$30:$J$229,$F$30:$F$229,F227)&gt;=2,"Revisar: discrepancia","")))</f>
        <v/>
      </c>
    </row>
    <row r="228">
      <c r="A228" s="9" t="n"/>
      <c r="B228" s="13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14">
        <f>IF(F228="","",IF(COUNTIF($F$30:$F$229,F228)&lt;2,"",IF(_xlfn.MAXIFS($J$30:$J$229,$F$30:$F$229,F228)-_xlfn.MINIFS($J$30:$J$229,$F$30:$F$229,F228)&gt;=2,"Revisar: discrepancia","")))</f>
        <v/>
      </c>
    </row>
    <row r="229">
      <c r="A229" s="9" t="n"/>
      <c r="B229" s="13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14">
        <f>IF(F229="","",IF(COUNTIF($F$30:$F$229,F229)&lt;2,"",IF(_xlfn.MAXIFS($J$30:$J$229,$F$30:$F$229,F229)-_xlfn.MINIFS($J$30:$J$229,$F$30:$F$229,F229)&gt;=2,"Revisar: discrepancia","")))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4">
    <mergeCell ref="B4:L4"/>
    <mergeCell ref="B12:L12"/>
    <mergeCell ref="B13:L13"/>
    <mergeCell ref="B6:L6"/>
    <mergeCell ref="B16:L16"/>
    <mergeCell ref="B7:L7"/>
    <mergeCell ref="B11:L11"/>
    <mergeCell ref="B5:L5"/>
    <mergeCell ref="B19:L19"/>
    <mergeCell ref="B10:L10"/>
    <mergeCell ref="B14:L14"/>
    <mergeCell ref="B17:L17"/>
    <mergeCell ref="B18:L18"/>
    <mergeCell ref="B8:L8"/>
  </mergeCells>
  <dataValidations count="5">
    <dataValidation sqref="C30:C229" showDropDown="0" showInputMessage="0" showErrorMessage="1" allowBlank="1" errorTitle="Dimensión" error="Seleccione D1 a D18." type="list">
      <formula1>"D1,D2,D3,D4,D5,D6,D7,D8,D9,D10,D11,D12,D13,D14,D15,D16,D17,D18"</formula1>
    </dataValidation>
    <dataValidation sqref="F30:F229" showDropDown="0" showInputMessage="0" showErrorMessage="1" allowBlank="1" errorTitle="Control no válido" error="Seleccione un control de la hoja Controles marcos (columna B)." type="list">
      <formula1>'Controles marcos'!$B$2:$B$172</formula1>
    </dataValidation>
    <dataValidation sqref="I30:I229" showDropDown="0" showInputMessage="0" showErrorMessage="1" allowBlank="1" errorTitle="Respuesta no válida" error="Seleccione Sí o No." type="list">
      <formula1>=Listas!$D$2:$D$3</formula1>
    </dataValidation>
    <dataValidation sqref="J30:J229" showDropDown="0" showInputMessage="0" showErrorMessage="1" allowBlank="1" errorTitle="Puntaje no válido" error="Use 1, 2, 3, 4, 5 o N/A." type="list">
      <formula1>=Listas!$E$2:$E$7</formula1>
    </dataValidation>
    <dataValidation sqref="B30:B229" showDropDown="0" showInputMessage="0" showErrorMessage="1" allowBlank="1" errorTitle="Fecha no válida" error="Ingrese una fecha dd/mm/aaaa." type="date" operator="between">
      <formula1>43831</formula1>
      <formula2>49674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E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62" customWidth="1" min="3" max="3"/>
    <col width="14" customWidth="1" min="4" max="4"/>
    <col width="16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</cols>
  <sheetData>
    <row r="1">
      <c r="B1" s="15" t="inlineStr">
        <is>
          <t>DASHBOARD — CUMPLIMIENTO LEY 21.719</t>
        </is>
      </c>
    </row>
    <row r="2">
      <c r="B2" s="16">
        <f>"Actualizado: "&amp;TEXT(TODAY(),"dd/mm/yyyy")&amp;"  ·  Escala 1 (crítico) a 5 (optimizado)"</f>
        <v/>
      </c>
    </row>
    <row r="4" ht="22" customHeight="1">
      <c r="C4" s="17" t="inlineStr">
        <is>
          <t>Puntaje total ponderado (1-5)</t>
        </is>
      </c>
      <c r="D4" s="18">
        <f>Resumen!F28</f>
        <v/>
      </c>
    </row>
    <row r="5" ht="22" customHeight="1">
      <c r="C5" s="17" t="inlineStr">
        <is>
          <t>Nivel de madurez</t>
        </is>
      </c>
      <c r="D5" s="19">
        <f>IF(Resumen!E28/Resumen!D28&lt;0.5,"Cobertura insuficiente (&lt;50%)",Resumen!H28)</f>
        <v/>
      </c>
    </row>
    <row r="6" ht="22" customHeight="1">
      <c r="C6" s="17" t="inlineStr">
        <is>
          <t>Requisitos evaluados</t>
        </is>
      </c>
      <c r="D6" s="19">
        <f>Resumen!E28&amp;" de "&amp;Resumen!D28</f>
        <v/>
      </c>
    </row>
    <row r="7" ht="22" customHeight="1">
      <c r="C7" s="17" t="inlineStr">
        <is>
          <t>Controles puntuados</t>
        </is>
      </c>
      <c r="D7" s="19">
        <f>COUNTIF('Controles marcos'!E2:E172,"&gt;0")&amp;" de 171"</f>
        <v/>
      </c>
    </row>
    <row r="8" ht="22" customHeight="1">
      <c r="C8" s="17" t="inlineStr">
        <is>
          <t>Solicitudes ARCOP vencidas</t>
        </is>
      </c>
      <c r="D8" s="20">
        <f>Resumen!C7</f>
        <v/>
      </c>
    </row>
    <row r="9" ht="22" customHeight="1">
      <c r="C9" s="17" t="inlineStr">
        <is>
          <t>Completitud del RAT (1-5)</t>
        </is>
      </c>
      <c r="D9" s="18">
        <f>Resumen!C4</f>
        <v/>
      </c>
    </row>
    <row r="10">
      <c r="C10" s="21" t="inlineStr">
        <is>
          <t>Requisitos incluidos en el puntaje</t>
        </is>
      </c>
      <c r="D10" s="19">
        <f>COUNTIF('Requisitos Ley'!K2:K199,"Sí")&amp;" de "&amp;COUNTA('Requisitos Ley'!B2:B199)</f>
        <v/>
      </c>
    </row>
    <row r="11">
      <c r="B11" s="22" t="inlineStr">
        <is>
          <t>Código</t>
        </is>
      </c>
      <c r="C11" s="22" t="inlineStr">
        <is>
          <t>Dimensión</t>
        </is>
      </c>
      <c r="D11" s="22" t="inlineStr">
        <is>
          <t>Puntaje (1-5)</t>
        </is>
      </c>
      <c r="E11" s="22" t="inlineStr">
        <is>
          <t>Nivel</t>
        </is>
      </c>
    </row>
    <row r="12">
      <c r="B12" s="14">
        <f>Resumen!A10</f>
        <v/>
      </c>
      <c r="C12" s="14">
        <f>Resumen!B10</f>
        <v/>
      </c>
      <c r="D12" s="23">
        <f>Resumen!F10</f>
        <v/>
      </c>
      <c r="E12" s="14">
        <f>Resumen!H10</f>
        <v/>
      </c>
    </row>
    <row r="13">
      <c r="B13" s="14">
        <f>Resumen!A11</f>
        <v/>
      </c>
      <c r="C13" s="14">
        <f>Resumen!B11</f>
        <v/>
      </c>
      <c r="D13" s="23">
        <f>Resumen!F11</f>
        <v/>
      </c>
      <c r="E13" s="14">
        <f>Resumen!H11</f>
        <v/>
      </c>
    </row>
    <row r="14">
      <c r="B14" s="14">
        <f>Resumen!A12</f>
        <v/>
      </c>
      <c r="C14" s="14">
        <f>Resumen!B12</f>
        <v/>
      </c>
      <c r="D14" s="23">
        <f>Resumen!F12</f>
        <v/>
      </c>
      <c r="E14" s="14">
        <f>Resumen!H12</f>
        <v/>
      </c>
    </row>
    <row r="15">
      <c r="B15" s="14">
        <f>Resumen!A13</f>
        <v/>
      </c>
      <c r="C15" s="14">
        <f>Resumen!B13</f>
        <v/>
      </c>
      <c r="D15" s="23">
        <f>Resumen!F13</f>
        <v/>
      </c>
      <c r="E15" s="14">
        <f>Resumen!H13</f>
        <v/>
      </c>
    </row>
    <row r="16">
      <c r="B16" s="14">
        <f>Resumen!A14</f>
        <v/>
      </c>
      <c r="C16" s="14">
        <f>Resumen!B14</f>
        <v/>
      </c>
      <c r="D16" s="23">
        <f>Resumen!F14</f>
        <v/>
      </c>
      <c r="E16" s="14">
        <f>Resumen!H14</f>
        <v/>
      </c>
    </row>
    <row r="17">
      <c r="B17" s="14">
        <f>Resumen!A15</f>
        <v/>
      </c>
      <c r="C17" s="14">
        <f>Resumen!B15</f>
        <v/>
      </c>
      <c r="D17" s="23">
        <f>Resumen!F15</f>
        <v/>
      </c>
      <c r="E17" s="14">
        <f>Resumen!H15</f>
        <v/>
      </c>
    </row>
    <row r="18">
      <c r="B18" s="14">
        <f>Resumen!A16</f>
        <v/>
      </c>
      <c r="C18" s="14">
        <f>Resumen!B16</f>
        <v/>
      </c>
      <c r="D18" s="23">
        <f>Resumen!F16</f>
        <v/>
      </c>
      <c r="E18" s="14">
        <f>Resumen!H16</f>
        <v/>
      </c>
    </row>
    <row r="19">
      <c r="B19" s="14">
        <f>Resumen!A17</f>
        <v/>
      </c>
      <c r="C19" s="14">
        <f>Resumen!B17</f>
        <v/>
      </c>
      <c r="D19" s="23">
        <f>Resumen!F17</f>
        <v/>
      </c>
      <c r="E19" s="14">
        <f>Resumen!H17</f>
        <v/>
      </c>
    </row>
    <row r="20">
      <c r="B20" s="14">
        <f>Resumen!A18</f>
        <v/>
      </c>
      <c r="C20" s="14">
        <f>Resumen!B18</f>
        <v/>
      </c>
      <c r="D20" s="23">
        <f>Resumen!F18</f>
        <v/>
      </c>
      <c r="E20" s="14">
        <f>Resumen!H18</f>
        <v/>
      </c>
    </row>
    <row r="21">
      <c r="B21" s="14">
        <f>Resumen!A19</f>
        <v/>
      </c>
      <c r="C21" s="14">
        <f>Resumen!B19</f>
        <v/>
      </c>
      <c r="D21" s="23">
        <f>Resumen!F19</f>
        <v/>
      </c>
      <c r="E21" s="14">
        <f>Resumen!H19</f>
        <v/>
      </c>
    </row>
    <row r="22">
      <c r="B22" s="14">
        <f>Resumen!A20</f>
        <v/>
      </c>
      <c r="C22" s="14">
        <f>Resumen!B20</f>
        <v/>
      </c>
      <c r="D22" s="23">
        <f>Resumen!F20</f>
        <v/>
      </c>
      <c r="E22" s="14">
        <f>Resumen!H20</f>
        <v/>
      </c>
    </row>
    <row r="23">
      <c r="B23" s="14">
        <f>Resumen!A21</f>
        <v/>
      </c>
      <c r="C23" s="14">
        <f>Resumen!B21</f>
        <v/>
      </c>
      <c r="D23" s="23">
        <f>Resumen!F21</f>
        <v/>
      </c>
      <c r="E23" s="14">
        <f>Resumen!H21</f>
        <v/>
      </c>
    </row>
    <row r="24">
      <c r="B24" s="14">
        <f>Resumen!A22</f>
        <v/>
      </c>
      <c r="C24" s="14">
        <f>Resumen!B22</f>
        <v/>
      </c>
      <c r="D24" s="23">
        <f>Resumen!F22</f>
        <v/>
      </c>
      <c r="E24" s="14">
        <f>Resumen!H22</f>
        <v/>
      </c>
    </row>
    <row r="25">
      <c r="B25" s="14">
        <f>Resumen!A23</f>
        <v/>
      </c>
      <c r="C25" s="14">
        <f>Resumen!B23</f>
        <v/>
      </c>
      <c r="D25" s="23">
        <f>Resumen!F23</f>
        <v/>
      </c>
      <c r="E25" s="14">
        <f>Resumen!H23</f>
        <v/>
      </c>
    </row>
    <row r="26">
      <c r="B26" s="14">
        <f>Resumen!A24</f>
        <v/>
      </c>
      <c r="C26" s="14">
        <f>Resumen!B24</f>
        <v/>
      </c>
      <c r="D26" s="23">
        <f>Resumen!F24</f>
        <v/>
      </c>
      <c r="E26" s="14">
        <f>Resumen!H24</f>
        <v/>
      </c>
    </row>
    <row r="27">
      <c r="B27" s="14">
        <f>Resumen!A25</f>
        <v/>
      </c>
      <c r="C27" s="14">
        <f>Resumen!B25</f>
        <v/>
      </c>
      <c r="D27" s="23">
        <f>Resumen!F25</f>
        <v/>
      </c>
      <c r="E27" s="14">
        <f>Resumen!H25</f>
        <v/>
      </c>
    </row>
    <row r="28">
      <c r="B28" s="14">
        <f>Resumen!A26</f>
        <v/>
      </c>
      <c r="C28" s="14">
        <f>Resumen!B26</f>
        <v/>
      </c>
      <c r="D28" s="23">
        <f>Resumen!F26</f>
        <v/>
      </c>
      <c r="E28" s="14">
        <f>Resumen!H26</f>
        <v/>
      </c>
    </row>
    <row r="29">
      <c r="B29" s="14">
        <f>Resumen!A27</f>
        <v/>
      </c>
      <c r="C29" s="14">
        <f>Resumen!B27</f>
        <v/>
      </c>
      <c r="D29" s="23">
        <f>Resumen!F27</f>
        <v/>
      </c>
      <c r="E29" s="14">
        <f>Resumen!H27</f>
        <v/>
      </c>
    </row>
    <row r="31">
      <c r="B31" s="22" t="inlineStr"/>
      <c r="C31" s="22" t="inlineStr">
        <is>
          <t>Marco de referencia</t>
        </is>
      </c>
      <c r="D31" s="22" t="inlineStr">
        <is>
          <t>Evaluados</t>
        </is>
      </c>
      <c r="E31" s="22" t="inlineStr">
        <is>
          <t>Puntaje (1-5)</t>
        </is>
      </c>
    </row>
    <row r="32">
      <c r="B32" s="14" t="n"/>
      <c r="C32" s="14">
        <f>Resumen!A33</f>
        <v/>
      </c>
      <c r="D32" s="14">
        <f>Resumen!D33</f>
        <v/>
      </c>
      <c r="E32" s="23">
        <f>Resumen!E33</f>
        <v/>
      </c>
    </row>
    <row r="33">
      <c r="B33" s="14" t="n"/>
      <c r="C33" s="14">
        <f>Resumen!A34</f>
        <v/>
      </c>
      <c r="D33" s="14">
        <f>Resumen!D34</f>
        <v/>
      </c>
      <c r="E33" s="23">
        <f>Resumen!E34</f>
        <v/>
      </c>
    </row>
    <row r="34">
      <c r="B34" s="14" t="n"/>
      <c r="C34" s="14">
        <f>Resumen!A35</f>
        <v/>
      </c>
      <c r="D34" s="14">
        <f>Resumen!D35</f>
        <v/>
      </c>
      <c r="E34" s="23">
        <f>Resumen!E35</f>
        <v/>
      </c>
    </row>
    <row r="35">
      <c r="B35" s="14" t="n"/>
      <c r="C35" s="14">
        <f>Resumen!A36</f>
        <v/>
      </c>
      <c r="D35" s="14">
        <f>Resumen!D36</f>
        <v/>
      </c>
      <c r="E35" s="23">
        <f>Resumen!E36</f>
        <v/>
      </c>
    </row>
    <row r="36">
      <c r="B36" s="14" t="n"/>
      <c r="C36" s="14">
        <f>Resumen!A37</f>
        <v/>
      </c>
      <c r="D36" s="14">
        <f>Resumen!D37</f>
        <v/>
      </c>
      <c r="E36" s="23">
        <f>Resumen!E37</f>
        <v/>
      </c>
    </row>
    <row r="37">
      <c r="B37" s="14" t="n"/>
      <c r="C37" s="14">
        <f>Resumen!A38</f>
        <v/>
      </c>
      <c r="D37" s="14">
        <f>Resumen!D38</f>
        <v/>
      </c>
      <c r="E37" s="23">
        <f>Resumen!E38</f>
        <v/>
      </c>
    </row>
    <row r="39">
      <c r="B39" s="22" t="inlineStr">
        <is>
          <t>Código</t>
        </is>
      </c>
      <c r="C39" s="22" t="inlineStr">
        <is>
          <t>Brecha prioritaria (menor puntaje evaluado)</t>
        </is>
      </c>
      <c r="D39" s="22" t="inlineStr">
        <is>
          <t>Puntaje (1-5)</t>
        </is>
      </c>
    </row>
    <row r="40" ht="30" customHeight="1">
      <c r="B40" s="14">
        <f>IF(D40="","",INDEX('Requisitos Ley'!$B$2:$B$199,MATCH(D40,'Requisitos Ley'!$L$2:$L$199,0)))</f>
        <v/>
      </c>
      <c r="C40" s="12">
        <f>IF(D40="","",INDEX('Requisitos Ley'!$C$2:$C$199,MATCH(D40,'Requisitos Ley'!$L$2:$L$199,0)))</f>
        <v/>
      </c>
      <c r="D40" s="23">
        <f>IFERROR(SMALL('Requisitos Ley'!$L$2:$L$199,1),"")</f>
        <v/>
      </c>
      <c r="E40" s="14" t="n"/>
    </row>
    <row r="41" ht="30" customHeight="1">
      <c r="B41" s="14">
        <f>IF(D41="","",INDEX('Requisitos Ley'!$B$2:$B$199,MATCH(D41,'Requisitos Ley'!$L$2:$L$199,0)))</f>
        <v/>
      </c>
      <c r="C41" s="12">
        <f>IF(D41="","",INDEX('Requisitos Ley'!$C$2:$C$199,MATCH(D41,'Requisitos Ley'!$L$2:$L$199,0)))</f>
        <v/>
      </c>
      <c r="D41" s="23">
        <f>IFERROR(SMALL('Requisitos Ley'!$L$2:$L$199,2),"")</f>
        <v/>
      </c>
      <c r="E41" s="14" t="n"/>
    </row>
    <row r="42" ht="30" customHeight="1">
      <c r="B42" s="14">
        <f>IF(D42="","",INDEX('Requisitos Ley'!$B$2:$B$199,MATCH(D42,'Requisitos Ley'!$L$2:$L$199,0)))</f>
        <v/>
      </c>
      <c r="C42" s="12">
        <f>IF(D42="","",INDEX('Requisitos Ley'!$C$2:$C$199,MATCH(D42,'Requisitos Ley'!$L$2:$L$199,0)))</f>
        <v/>
      </c>
      <c r="D42" s="23">
        <f>IFERROR(SMALL('Requisitos Ley'!$L$2:$L$199,3),"")</f>
        <v/>
      </c>
      <c r="E42" s="14" t="n"/>
    </row>
    <row r="43" ht="30" customHeight="1">
      <c r="B43" s="14">
        <f>IF(D43="","",INDEX('Requisitos Ley'!$B$2:$B$199,MATCH(D43,'Requisitos Ley'!$L$2:$L$199,0)))</f>
        <v/>
      </c>
      <c r="C43" s="12">
        <f>IF(D43="","",INDEX('Requisitos Ley'!$C$2:$C$199,MATCH(D43,'Requisitos Ley'!$L$2:$L$199,0)))</f>
        <v/>
      </c>
      <c r="D43" s="23">
        <f>IFERROR(SMALL('Requisitos Ley'!$L$2:$L$199,4),"")</f>
        <v/>
      </c>
      <c r="E43" s="14" t="n"/>
    </row>
    <row r="44" ht="30" customHeight="1">
      <c r="B44" s="14">
        <f>IF(D44="","",INDEX('Requisitos Ley'!$B$2:$B$199,MATCH(D44,'Requisitos Ley'!$L$2:$L$199,0)))</f>
        <v/>
      </c>
      <c r="C44" s="12">
        <f>IF(D44="","",INDEX('Requisitos Ley'!$C$2:$C$199,MATCH(D44,'Requisitos Ley'!$L$2:$L$199,0)))</f>
        <v/>
      </c>
      <c r="D44" s="23">
        <f>IFERROR(SMALL('Requisitos Ley'!$L$2:$L$199,5),"")</f>
        <v/>
      </c>
      <c r="E44" s="1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conditionalFormatting sqref="D8">
    <cfRule type="cellIs" priority="1" operator="greaterThan" dxfId="0">
      <formula>0</formula>
    </cfRule>
  </conditionalFormatting>
  <conditionalFormatting sqref="D12:D29">
    <cfRule type="colorScale" priority="2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conditionalFormatting sqref="E32:E37">
    <cfRule type="colorScale" priority="3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conditionalFormatting sqref="D40:D44">
    <cfRule type="colorScale" priority="4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24" t="inlineStr">
        <is>
          <t>RESUMEN INTEGRADO — LEY 21.719</t>
        </is>
      </c>
    </row>
    <row r="3">
      <c r="A3" s="5" t="inlineStr">
        <is>
          <t>INDICADORES DERIVADOS DEL LEVANTAMIENTO (escala 1–5)</t>
        </is>
      </c>
    </row>
    <row r="4">
      <c r="A4" t="inlineStr">
        <is>
          <t>Completitud del RAT (campos obligatorios por actividad)</t>
        </is>
      </c>
      <c r="C4" s="25">
        <f>IFERROR(1+4*AVERAGE(RAT!$AA$2:$AA$60),"")</f>
        <v/>
      </c>
    </row>
    <row r="5">
      <c r="A5" t="inlineStr">
        <is>
          <t>Derechos ARCOP atendidos en plazo</t>
        </is>
      </c>
      <c r="C5" s="25">
        <f>IFERROR(1+4*(COUNTIF(ARCOP!I:I,"A tiempo")+COUNTIF(ARCOP!I:I,"En plazo"))/COUNTIF(ARCOP!A:A,"ARC-*"),"")</f>
        <v/>
      </c>
    </row>
    <row r="6">
      <c r="A6" t="inlineStr">
        <is>
          <t>Transferencias con garantía definida</t>
        </is>
      </c>
      <c r="C6" s="25">
        <f>IFERROR(1+4*COUNTIF(Transferencias!J:J,"Sí")/COUNTIF(Transferencias!A:A,"RAT-*"),"")</f>
        <v/>
      </c>
    </row>
    <row r="7">
      <c r="A7" t="inlineStr">
        <is>
          <t>Solicitudes ARCOP vencidas (informativo, no suma al puntaje)</t>
        </is>
      </c>
      <c r="C7" s="26">
        <f>COUNTIF(ARCOP!I:I,"Vencida")</f>
        <v/>
      </c>
    </row>
    <row r="9">
      <c r="A9" s="11" t="inlineStr">
        <is>
          <t>Código</t>
        </is>
      </c>
      <c r="B9" s="11" t="inlineStr">
        <is>
          <t>Dimensión</t>
        </is>
      </c>
      <c r="C9" s="11" t="inlineStr">
        <is>
          <t>Peso</t>
        </is>
      </c>
      <c r="D9" s="11" t="inlineStr">
        <is>
          <t>Requisitos</t>
        </is>
      </c>
      <c r="E9" s="11" t="inlineStr">
        <is>
          <t>Evaluados</t>
        </is>
      </c>
      <c r="F9" s="11" t="inlineStr">
        <is>
          <t>Puntaje (1-5)</t>
        </is>
      </c>
      <c r="G9" s="11" t="inlineStr">
        <is>
          <t>% cumplimiento</t>
        </is>
      </c>
      <c r="H9" s="11" t="inlineStr">
        <is>
          <t>Nivel</t>
        </is>
      </c>
    </row>
    <row r="10">
      <c r="A10" s="14" t="inlineStr">
        <is>
          <t>D1</t>
        </is>
      </c>
      <c r="B10" s="14" t="inlineStr">
        <is>
          <t>Gobierno y responsabilidad proactiva</t>
        </is>
      </c>
      <c r="C10" s="27" t="n">
        <v>0.08</v>
      </c>
      <c r="D10" s="14">
        <f>COUNTIFS('Requisitos Ley'!$A$2:$A$199,A10,'Requisitos Ley'!$K$2:$K$199,"Sí")</f>
        <v/>
      </c>
      <c r="E10" s="14">
        <f>COUNTIFS('Requisitos Ley'!$A$2:$A$199,A10,'Requisitos Ley'!$L$2:$L$199,"&gt;0")</f>
        <v/>
      </c>
      <c r="F10" s="23">
        <f>IFERROR(AVERAGEIFS('Requisitos Ley'!$L$2:$L$199,'Requisitos Ley'!$A$2:$A$199,A10),0)</f>
        <v/>
      </c>
      <c r="G10" s="28">
        <f>IF(F10&gt;0,F10/5,"")</f>
        <v/>
      </c>
      <c r="H10" s="14">
        <f>IF(F10=0,"Sin evaluar",IF(F10&lt;2,"Crítico",IF(F10&lt;3,"Inicial",IF(F10&lt;4,"En desarrollo",IF(F10&lt;4.6,"Avanzado","Optimizado")))))</f>
        <v/>
      </c>
    </row>
    <row r="11">
      <c r="A11" s="14" t="inlineStr">
        <is>
          <t>D2</t>
        </is>
      </c>
      <c r="B11" s="14" t="inlineStr">
        <is>
          <t>Inventario y Registro de Actividades de Tratamiento (RAT)</t>
        </is>
      </c>
      <c r="C11" s="27" t="n">
        <v>0.06</v>
      </c>
      <c r="D11" s="14">
        <f>COUNTIFS('Requisitos Ley'!$A$2:$A$199,A11,'Requisitos Ley'!$K$2:$K$199,"Sí")</f>
        <v/>
      </c>
      <c r="E11" s="14">
        <f>COUNTIFS('Requisitos Ley'!$A$2:$A$199,A11,'Requisitos Ley'!$L$2:$L$199,"&gt;0")</f>
        <v/>
      </c>
      <c r="F11" s="23">
        <f>IFERROR(AVERAGEIFS('Requisitos Ley'!$L$2:$L$199,'Requisitos Ley'!$A$2:$A$199,A11),0)</f>
        <v/>
      </c>
      <c r="G11" s="28">
        <f>IF(F11&gt;0,F11/5,"")</f>
        <v/>
      </c>
      <c r="H11" s="14">
        <f>IF(F11=0,"Sin evaluar",IF(F11&lt;2,"Crítico",IF(F11&lt;3,"Inicial",IF(F11&lt;4,"En desarrollo",IF(F11&lt;4.6,"Avanzado","Optimizado")))))</f>
        <v/>
      </c>
    </row>
    <row r="12">
      <c r="A12" s="14" t="inlineStr">
        <is>
          <t>D3</t>
        </is>
      </c>
      <c r="B12" s="14" t="inlineStr">
        <is>
          <t>Licitud del tratamiento y consentimiento</t>
        </is>
      </c>
      <c r="C12" s="27" t="n">
        <v>0.06</v>
      </c>
      <c r="D12" s="14">
        <f>COUNTIFS('Requisitos Ley'!$A$2:$A$199,A12,'Requisitos Ley'!$K$2:$K$199,"Sí")</f>
        <v/>
      </c>
      <c r="E12" s="14">
        <f>COUNTIFS('Requisitos Ley'!$A$2:$A$199,A12,'Requisitos Ley'!$L$2:$L$199,"&gt;0")</f>
        <v/>
      </c>
      <c r="F12" s="23">
        <f>IFERROR(AVERAGEIFS('Requisitos Ley'!$L$2:$L$199,'Requisitos Ley'!$A$2:$A$199,A12),0)</f>
        <v/>
      </c>
      <c r="G12" s="28">
        <f>IF(F12&gt;0,F12/5,"")</f>
        <v/>
      </c>
      <c r="H12" s="14">
        <f>IF(F12=0,"Sin evaluar",IF(F12&lt;2,"Crítico",IF(F12&lt;3,"Inicial",IF(F12&lt;4,"En desarrollo",IF(F12&lt;4.6,"Avanzado","Optimizado")))))</f>
        <v/>
      </c>
    </row>
    <row r="13">
      <c r="A13" s="14" t="inlineStr">
        <is>
          <t>D4</t>
        </is>
      </c>
      <c r="B13" s="14" t="inlineStr">
        <is>
          <t>Derechos de los titulares (ARCOP)</t>
        </is>
      </c>
      <c r="C13" s="27" t="n">
        <v>0.06</v>
      </c>
      <c r="D13" s="14">
        <f>COUNTIFS('Requisitos Ley'!$A$2:$A$199,A13,'Requisitos Ley'!$K$2:$K$199,"Sí")</f>
        <v/>
      </c>
      <c r="E13" s="14">
        <f>COUNTIFS('Requisitos Ley'!$A$2:$A$199,A13,'Requisitos Ley'!$L$2:$L$199,"&gt;0")</f>
        <v/>
      </c>
      <c r="F13" s="23">
        <f>IFERROR(AVERAGEIFS('Requisitos Ley'!$L$2:$L$199,'Requisitos Ley'!$A$2:$A$199,A13),0)</f>
        <v/>
      </c>
      <c r="G13" s="28">
        <f>IF(F13&gt;0,F13/5,"")</f>
        <v/>
      </c>
      <c r="H13" s="14">
        <f>IF(F13=0,"Sin evaluar",IF(F13&lt;2,"Crítico",IF(F13&lt;3,"Inicial",IF(F13&lt;4,"En desarrollo",IF(F13&lt;4.6,"Avanzado","Optimizado")))))</f>
        <v/>
      </c>
    </row>
    <row r="14">
      <c r="A14" s="14" t="inlineStr">
        <is>
          <t>D5</t>
        </is>
      </c>
      <c r="B14" s="14" t="inlineStr">
        <is>
          <t>Principios y ciclo de vida del dato</t>
        </is>
      </c>
      <c r="C14" s="27" t="n">
        <v>0.05</v>
      </c>
      <c r="D14" s="14">
        <f>COUNTIFS('Requisitos Ley'!$A$2:$A$199,A14,'Requisitos Ley'!$K$2:$K$199,"Sí")</f>
        <v/>
      </c>
      <c r="E14" s="14">
        <f>COUNTIFS('Requisitos Ley'!$A$2:$A$199,A14,'Requisitos Ley'!$L$2:$L$199,"&gt;0")</f>
        <v/>
      </c>
      <c r="F14" s="23">
        <f>IFERROR(AVERAGEIFS('Requisitos Ley'!$L$2:$L$199,'Requisitos Ley'!$A$2:$A$199,A14),0)</f>
        <v/>
      </c>
      <c r="G14" s="28">
        <f>IF(F14&gt;0,F14/5,"")</f>
        <v/>
      </c>
      <c r="H14" s="14">
        <f>IF(F14=0,"Sin evaluar",IF(F14&lt;2,"Crítico",IF(F14&lt;3,"Inicial",IF(F14&lt;4,"En desarrollo",IF(F14&lt;4.6,"Avanzado","Optimizado")))))</f>
        <v/>
      </c>
    </row>
    <row r="15">
      <c r="A15" s="14" t="inlineStr">
        <is>
          <t>D6</t>
        </is>
      </c>
      <c r="B15" s="14" t="inlineStr">
        <is>
          <t>Datos sensibles, biométricos y de menores</t>
        </is>
      </c>
      <c r="C15" s="27" t="n">
        <v>0.05</v>
      </c>
      <c r="D15" s="14">
        <f>COUNTIFS('Requisitos Ley'!$A$2:$A$199,A15,'Requisitos Ley'!$K$2:$K$199,"Sí")</f>
        <v/>
      </c>
      <c r="E15" s="14">
        <f>COUNTIFS('Requisitos Ley'!$A$2:$A$199,A15,'Requisitos Ley'!$L$2:$L$199,"&gt;0")</f>
        <v/>
      </c>
      <c r="F15" s="23">
        <f>IFERROR(AVERAGEIFS('Requisitos Ley'!$L$2:$L$199,'Requisitos Ley'!$A$2:$A$199,A15),0)</f>
        <v/>
      </c>
      <c r="G15" s="28">
        <f>IF(F15&gt;0,F15/5,"")</f>
        <v/>
      </c>
      <c r="H15" s="14">
        <f>IF(F15=0,"Sin evaluar",IF(F15&lt;2,"Crítico",IF(F15&lt;3,"Inicial",IF(F15&lt;4,"En desarrollo",IF(F15&lt;4.6,"Avanzado","Optimizado")))))</f>
        <v/>
      </c>
    </row>
    <row r="16">
      <c r="A16" s="14" t="inlineStr">
        <is>
          <t>D7</t>
        </is>
      </c>
      <c r="B16" s="14" t="inlineStr">
        <is>
          <t>Evaluación de impacto y privacidad desde el diseño</t>
        </is>
      </c>
      <c r="C16" s="27" t="n">
        <v>0.04</v>
      </c>
      <c r="D16" s="14">
        <f>COUNTIFS('Requisitos Ley'!$A$2:$A$199,A16,'Requisitos Ley'!$K$2:$K$199,"Sí")</f>
        <v/>
      </c>
      <c r="E16" s="14">
        <f>COUNTIFS('Requisitos Ley'!$A$2:$A$199,A16,'Requisitos Ley'!$L$2:$L$199,"&gt;0")</f>
        <v/>
      </c>
      <c r="F16" s="23">
        <f>IFERROR(AVERAGEIFS('Requisitos Ley'!$L$2:$L$199,'Requisitos Ley'!$A$2:$A$199,A16),0)</f>
        <v/>
      </c>
      <c r="G16" s="28">
        <f>IF(F16&gt;0,F16/5,"")</f>
        <v/>
      </c>
      <c r="H16" s="14">
        <f>IF(F16=0,"Sin evaluar",IF(F16&lt;2,"Crítico",IF(F16&lt;3,"Inicial",IF(F16&lt;4,"En desarrollo",IF(F16&lt;4.6,"Avanzado","Optimizado")))))</f>
        <v/>
      </c>
    </row>
    <row r="17">
      <c r="A17" s="14" t="inlineStr">
        <is>
          <t>D8</t>
        </is>
      </c>
      <c r="B17" s="14" t="inlineStr">
        <is>
          <t>Seguridad de la información (RBAC, malware, MFA)</t>
        </is>
      </c>
      <c r="C17" s="27" t="n">
        <v>0.11</v>
      </c>
      <c r="D17" s="14">
        <f>COUNTIFS('Requisitos Ley'!$A$2:$A$199,A17,'Requisitos Ley'!$K$2:$K$199,"Sí")</f>
        <v/>
      </c>
      <c r="E17" s="14">
        <f>COUNTIFS('Requisitos Ley'!$A$2:$A$199,A17,'Requisitos Ley'!$L$2:$L$199,"&gt;0")</f>
        <v/>
      </c>
      <c r="F17" s="23">
        <f>IFERROR(AVERAGEIFS('Requisitos Ley'!$L$2:$L$199,'Requisitos Ley'!$A$2:$A$199,A17),0)</f>
        <v/>
      </c>
      <c r="G17" s="28">
        <f>IF(F17&gt;0,F17/5,"")</f>
        <v/>
      </c>
      <c r="H17" s="14">
        <f>IF(F17=0,"Sin evaluar",IF(F17&lt;2,"Crítico",IF(F17&lt;3,"Inicial",IF(F17&lt;4,"En desarrollo",IF(F17&lt;4.6,"Avanzado","Optimizado")))))</f>
        <v/>
      </c>
    </row>
    <row r="18">
      <c r="A18" s="14" t="inlineStr">
        <is>
          <t>D9</t>
        </is>
      </c>
      <c r="B18" s="14" t="inlineStr">
        <is>
          <t>Gestión de incidentes, continuidad y DRP</t>
        </is>
      </c>
      <c r="C18" s="27" t="n">
        <v>0.07000000000000001</v>
      </c>
      <c r="D18" s="14">
        <f>COUNTIFS('Requisitos Ley'!$A$2:$A$199,A18,'Requisitos Ley'!$K$2:$K$199,"Sí")</f>
        <v/>
      </c>
      <c r="E18" s="14">
        <f>COUNTIFS('Requisitos Ley'!$A$2:$A$199,A18,'Requisitos Ley'!$L$2:$L$199,"&gt;0")</f>
        <v/>
      </c>
      <c r="F18" s="23">
        <f>IFERROR(AVERAGEIFS('Requisitos Ley'!$L$2:$L$199,'Requisitos Ley'!$A$2:$A$199,A18),0)</f>
        <v/>
      </c>
      <c r="G18" s="28">
        <f>IF(F18&gt;0,F18/5,"")</f>
        <v/>
      </c>
      <c r="H18" s="14">
        <f>IF(F18=0,"Sin evaluar",IF(F18&lt;2,"Crítico",IF(F18&lt;3,"Inicial",IF(F18&lt;4,"En desarrollo",IF(F18&lt;4.6,"Avanzado","Optimizado")))))</f>
        <v/>
      </c>
    </row>
    <row r="19">
      <c r="A19" s="14" t="inlineStr">
        <is>
          <t>D10</t>
        </is>
      </c>
      <c r="B19" s="14" t="inlineStr">
        <is>
          <t>Encargados, proveedores y transferencias internacionales</t>
        </is>
      </c>
      <c r="C19" s="27" t="n">
        <v>0.05</v>
      </c>
      <c r="D19" s="14">
        <f>COUNTIFS('Requisitos Ley'!$A$2:$A$199,A19,'Requisitos Ley'!$K$2:$K$199,"Sí")</f>
        <v/>
      </c>
      <c r="E19" s="14">
        <f>COUNTIFS('Requisitos Ley'!$A$2:$A$199,A19,'Requisitos Ley'!$L$2:$L$199,"&gt;0")</f>
        <v/>
      </c>
      <c r="F19" s="23">
        <f>IFERROR(AVERAGEIFS('Requisitos Ley'!$L$2:$L$199,'Requisitos Ley'!$A$2:$A$199,A19),0)</f>
        <v/>
      </c>
      <c r="G19" s="28">
        <f>IF(F19&gt;0,F19/5,"")</f>
        <v/>
      </c>
      <c r="H19" s="14">
        <f>IF(F19=0,"Sin evaluar",IF(F19&lt;2,"Crítico",IF(F19&lt;3,"Inicial",IF(F19&lt;4,"En desarrollo",IF(F19&lt;4.6,"Avanzado","Optimizado")))))</f>
        <v/>
      </c>
    </row>
    <row r="20">
      <c r="A20" s="14" t="inlineStr">
        <is>
          <t>D11</t>
        </is>
      </c>
      <c r="B20" s="14" t="inlineStr">
        <is>
          <t>Capacitación, cultura y phishing</t>
        </is>
      </c>
      <c r="C20" s="27" t="n">
        <v>0.04</v>
      </c>
      <c r="D20" s="14">
        <f>COUNTIFS('Requisitos Ley'!$A$2:$A$199,A20,'Requisitos Ley'!$K$2:$K$199,"Sí")</f>
        <v/>
      </c>
      <c r="E20" s="14">
        <f>COUNTIFS('Requisitos Ley'!$A$2:$A$199,A20,'Requisitos Ley'!$L$2:$L$199,"&gt;0")</f>
        <v/>
      </c>
      <c r="F20" s="23">
        <f>IFERROR(AVERAGEIFS('Requisitos Ley'!$L$2:$L$199,'Requisitos Ley'!$A$2:$A$199,A20),0)</f>
        <v/>
      </c>
      <c r="G20" s="28">
        <f>IF(F20&gt;0,F20/5,"")</f>
        <v/>
      </c>
      <c r="H20" s="14">
        <f>IF(F20=0,"Sin evaluar",IF(F20&lt;2,"Crítico",IF(F20&lt;3,"Inicial",IF(F20&lt;4,"En desarrollo",IF(F20&lt;4.6,"Avanzado","Optimizado")))))</f>
        <v/>
      </c>
    </row>
    <row r="21">
      <c r="A21" s="14" t="inlineStr">
        <is>
          <t>D12</t>
        </is>
      </c>
      <c r="B21" s="14" t="inlineStr">
        <is>
          <t>Auditoría, monitoreo y mejora continua</t>
        </is>
      </c>
      <c r="C21" s="27" t="n">
        <v>0.03</v>
      </c>
      <c r="D21" s="14">
        <f>COUNTIFS('Requisitos Ley'!$A$2:$A$199,A21,'Requisitos Ley'!$K$2:$K$199,"Sí")</f>
        <v/>
      </c>
      <c r="E21" s="14">
        <f>COUNTIFS('Requisitos Ley'!$A$2:$A$199,A21,'Requisitos Ley'!$L$2:$L$199,"&gt;0")</f>
        <v/>
      </c>
      <c r="F21" s="23">
        <f>IFERROR(AVERAGEIFS('Requisitos Ley'!$L$2:$L$199,'Requisitos Ley'!$A$2:$A$199,A21),0)</f>
        <v/>
      </c>
      <c r="G21" s="28">
        <f>IF(F21&gt;0,F21/5,"")</f>
        <v/>
      </c>
      <c r="H21" s="14">
        <f>IF(F21=0,"Sin evaluar",IF(F21&lt;2,"Crítico",IF(F21&lt;3,"Inicial",IF(F21&lt;4,"En desarrollo",IF(F21&lt;4.6,"Avanzado","Optimizado")))))</f>
        <v/>
      </c>
    </row>
    <row r="22">
      <c r="A22" s="14" t="inlineStr">
        <is>
          <t>D13</t>
        </is>
      </c>
      <c r="B22" s="14" t="inlineStr">
        <is>
          <t>Marcos de referencia complementarios (NIST CSF 2.0, CIS, PCI DSS, normativa)</t>
        </is>
      </c>
      <c r="C22" s="27" t="n">
        <v>0.06</v>
      </c>
      <c r="D22" s="14">
        <f>COUNTIFS('Requisitos Ley'!$A$2:$A$199,A22,'Requisitos Ley'!$K$2:$K$199,"Sí")</f>
        <v/>
      </c>
      <c r="E22" s="14">
        <f>COUNTIFS('Requisitos Ley'!$A$2:$A$199,A22,'Requisitos Ley'!$L$2:$L$199,"&gt;0")</f>
        <v/>
      </c>
      <c r="F22" s="23">
        <f>IFERROR(AVERAGEIFS('Requisitos Ley'!$L$2:$L$199,'Requisitos Ley'!$A$2:$A$199,A22),0)</f>
        <v/>
      </c>
      <c r="G22" s="28">
        <f>IF(F22&gt;0,F22/5,"")</f>
        <v/>
      </c>
      <c r="H22" s="14">
        <f>IF(F22=0,"Sin evaluar",IF(F22&lt;2,"Crítico",IF(F22&lt;3,"Inicial",IF(F22&lt;4,"En desarrollo",IF(F22&lt;4.6,"Avanzado","Optimizado")))))</f>
        <v/>
      </c>
    </row>
    <row r="23">
      <c r="A23" s="14" t="inlineStr">
        <is>
          <t>D14</t>
        </is>
      </c>
      <c r="B23" s="14" t="inlineStr">
        <is>
          <t>Seguridad física y del entorno</t>
        </is>
      </c>
      <c r="C23" s="27" t="n">
        <v>0.03</v>
      </c>
      <c r="D23" s="14">
        <f>COUNTIFS('Requisitos Ley'!$A$2:$A$199,A23,'Requisitos Ley'!$K$2:$K$199,"Sí")</f>
        <v/>
      </c>
      <c r="E23" s="14">
        <f>COUNTIFS('Requisitos Ley'!$A$2:$A$199,A23,'Requisitos Ley'!$L$2:$L$199,"&gt;0")</f>
        <v/>
      </c>
      <c r="F23" s="23">
        <f>IFERROR(AVERAGEIFS('Requisitos Ley'!$L$2:$L$199,'Requisitos Ley'!$A$2:$A$199,A23),0)</f>
        <v/>
      </c>
      <c r="G23" s="28">
        <f>IF(F23&gt;0,F23/5,"")</f>
        <v/>
      </c>
      <c r="H23" s="14">
        <f>IF(F23=0,"Sin evaluar",IF(F23&lt;2,"Crítico",IF(F23&lt;3,"Inicial",IF(F23&lt;4,"En desarrollo",IF(F23&lt;4.6,"Avanzado","Optimizado")))))</f>
        <v/>
      </c>
    </row>
    <row r="24">
      <c r="A24" s="14" t="inlineStr">
        <is>
          <t>D15</t>
        </is>
      </c>
      <c r="B24" s="14" t="inlineStr">
        <is>
          <t>Infraestructura, comunicaciones y bases de datos</t>
        </is>
      </c>
      <c r="C24" s="27" t="n">
        <v>0.06</v>
      </c>
      <c r="D24" s="14">
        <f>COUNTIFS('Requisitos Ley'!$A$2:$A$199,A24,'Requisitos Ley'!$K$2:$K$199,"Sí")</f>
        <v/>
      </c>
      <c r="E24" s="14">
        <f>COUNTIFS('Requisitos Ley'!$A$2:$A$199,A24,'Requisitos Ley'!$L$2:$L$199,"&gt;0")</f>
        <v/>
      </c>
      <c r="F24" s="23">
        <f>IFERROR(AVERAGEIFS('Requisitos Ley'!$L$2:$L$199,'Requisitos Ley'!$A$2:$A$199,A24),0)</f>
        <v/>
      </c>
      <c r="G24" s="28">
        <f>IF(F24&gt;0,F24/5,"")</f>
        <v/>
      </c>
      <c r="H24" s="14">
        <f>IF(F24=0,"Sin evaluar",IF(F24&lt;2,"Crítico",IF(F24&lt;3,"Inicial",IF(F24&lt;4,"En desarrollo",IF(F24&lt;4.6,"Avanzado","Optimizado")))))</f>
        <v/>
      </c>
    </row>
    <row r="25">
      <c r="A25" s="14" t="inlineStr">
        <is>
          <t>D16</t>
        </is>
      </c>
      <c r="B25" s="14" t="inlineStr">
        <is>
          <t>Gobierno de TI y procesos (COBIT 5)</t>
        </is>
      </c>
      <c r="C25" s="27" t="n">
        <v>0.04</v>
      </c>
      <c r="D25" s="14">
        <f>COUNTIFS('Requisitos Ley'!$A$2:$A$199,A25,'Requisitos Ley'!$K$2:$K$199,"Sí")</f>
        <v/>
      </c>
      <c r="E25" s="14">
        <f>COUNTIFS('Requisitos Ley'!$A$2:$A$199,A25,'Requisitos Ley'!$L$2:$L$199,"&gt;0")</f>
        <v/>
      </c>
      <c r="F25" s="23">
        <f>IFERROR(AVERAGEIFS('Requisitos Ley'!$L$2:$L$199,'Requisitos Ley'!$A$2:$A$199,A25),0)</f>
        <v/>
      </c>
      <c r="G25" s="28">
        <f>IF(F25&gt;0,F25/5,"")</f>
        <v/>
      </c>
      <c r="H25" s="14">
        <f>IF(F25=0,"Sin evaluar",IF(F25&lt;2,"Crítico",IF(F25&lt;3,"Inicial",IF(F25&lt;4,"En desarrollo",IF(F25&lt;4.6,"Avanzado","Optimizado")))))</f>
        <v/>
      </c>
    </row>
    <row r="26">
      <c r="A26" s="14" t="inlineStr">
        <is>
          <t>D17</t>
        </is>
      </c>
      <c r="B26" s="14" t="inlineStr">
        <is>
          <t>Recursos humanos: candidatos, empleados y expediente</t>
        </is>
      </c>
      <c r="C26" s="27" t="n">
        <v>0.06</v>
      </c>
      <c r="D26" s="14">
        <f>COUNTIFS('Requisitos Ley'!$A$2:$A$199,A26,'Requisitos Ley'!$K$2:$K$199,"Sí")</f>
        <v/>
      </c>
      <c r="E26" s="14">
        <f>COUNTIFS('Requisitos Ley'!$A$2:$A$199,A26,'Requisitos Ley'!$L$2:$L$199,"&gt;0")</f>
        <v/>
      </c>
      <c r="F26" s="23">
        <f>IFERROR(AVERAGEIFS('Requisitos Ley'!$L$2:$L$199,'Requisitos Ley'!$A$2:$A$199,A26),0)</f>
        <v/>
      </c>
      <c r="G26" s="28">
        <f>IF(F26&gt;0,F26/5,"")</f>
        <v/>
      </c>
      <c r="H26" s="14">
        <f>IF(F26=0,"Sin evaluar",IF(F26&lt;2,"Crítico",IF(F26&lt;3,"Inicial",IF(F26&lt;4,"En desarrollo",IF(F26&lt;4.6,"Avanzado","Optimizado")))))</f>
        <v/>
      </c>
    </row>
    <row r="27">
      <c r="A27" s="14" t="inlineStr">
        <is>
          <t>D18</t>
        </is>
      </c>
      <c r="B27" s="14" t="inlineStr">
        <is>
          <t>Clientes, leads, prospectos y marketing</t>
        </is>
      </c>
      <c r="C27" s="27" t="n">
        <v>0.05</v>
      </c>
      <c r="D27" s="14">
        <f>COUNTIFS('Requisitos Ley'!$A$2:$A$199,A27,'Requisitos Ley'!$K$2:$K$199,"Sí")</f>
        <v/>
      </c>
      <c r="E27" s="14">
        <f>COUNTIFS('Requisitos Ley'!$A$2:$A$199,A27,'Requisitos Ley'!$L$2:$L$199,"&gt;0")</f>
        <v/>
      </c>
      <c r="F27" s="23">
        <f>IFERROR(AVERAGEIFS('Requisitos Ley'!$L$2:$L$199,'Requisitos Ley'!$A$2:$A$199,A27),0)</f>
        <v/>
      </c>
      <c r="G27" s="28">
        <f>IF(F27&gt;0,F27/5,"")</f>
        <v/>
      </c>
      <c r="H27" s="14">
        <f>IF(F27=0,"Sin evaluar",IF(F27&lt;2,"Crítico",IF(F27&lt;3,"Inicial",IF(F27&lt;4,"En desarrollo",IF(F27&lt;4.6,"Avanzado","Optimizado")))))</f>
        <v/>
      </c>
    </row>
    <row r="28">
      <c r="A28" s="29" t="inlineStr">
        <is>
          <t>TOTAL</t>
        </is>
      </c>
      <c r="B28" s="29" t="inlineStr">
        <is>
          <t>Puntaje total ponderado (solo dimensiones evaluadas)</t>
        </is>
      </c>
      <c r="C28" s="30">
        <f>SUM(C10:C27)</f>
        <v/>
      </c>
      <c r="D28" s="31">
        <f>SUM(D10:D27)</f>
        <v/>
      </c>
      <c r="E28" s="31">
        <f>SUM(E10:E27)</f>
        <v/>
      </c>
      <c r="F28" s="25">
        <f>IFERROR(SUMPRODUCT((F10:F27&gt;0)*F10:F27*C10:C27)/SUMPRODUCT((F10:F27&gt;0)*C10:C27),0)</f>
        <v/>
      </c>
      <c r="G28" s="30">
        <f>IF(F28&gt;0,F28/5,"")</f>
        <v/>
      </c>
      <c r="H28" s="29">
        <f>IF(F28=0,"Sin evaluar",IF(F28&lt;2,"Crítico",IF(F28&lt;3,"Inicial",IF(F28&lt;4,"En desarrollo",IF(F28&lt;4.6,"Avanzado","Optimizado")))))</f>
        <v/>
      </c>
    </row>
    <row r="29">
      <c r="A29" s="16">
        <f>IF(ROUND(C28,4)=1,"Pesos correctos (100%)","ATENCIÓN: los pesos no suman 100%")</f>
        <v/>
      </c>
    </row>
    <row r="31">
      <c r="A31" s="5" t="inlineStr">
        <is>
          <t>VISTA POR MARCO DE REFERENCIA (promedio de controles puntuados)</t>
        </is>
      </c>
    </row>
    <row r="32">
      <c r="A32" s="22" t="inlineStr">
        <is>
          <t>Marco</t>
        </is>
      </c>
      <c r="B32" s="22" t="inlineStr"/>
      <c r="C32" s="22" t="inlineStr">
        <is>
          <t>Controles</t>
        </is>
      </c>
      <c r="D32" s="22" t="inlineStr">
        <is>
          <t>Evaluados</t>
        </is>
      </c>
      <c r="E32" s="22" t="inlineStr">
        <is>
          <t>Puntaje (1-5)</t>
        </is>
      </c>
    </row>
    <row r="33">
      <c r="A33" t="inlineStr">
        <is>
          <t>ISO 27001:2022</t>
        </is>
      </c>
      <c r="C33">
        <f>COUNTIF('Controles marcos'!$A$2:$A$172,A33)</f>
        <v/>
      </c>
      <c r="D33">
        <f>COUNTIFS('Controles marcos'!$A$2:$A$172,A33,'Controles marcos'!$E$2:$E$172,"&gt;0")</f>
        <v/>
      </c>
      <c r="E33" s="32">
        <f>IFERROR(AVERAGEIFS('Controles marcos'!$E$2:$E$172,'Controles marcos'!$A$2:$A$172,A33),"")</f>
        <v/>
      </c>
    </row>
    <row r="34">
      <c r="A34" t="inlineStr">
        <is>
          <t>NIST CSF 2.0</t>
        </is>
      </c>
      <c r="C34">
        <f>COUNTIF('Controles marcos'!$A$2:$A$172,A34)</f>
        <v/>
      </c>
      <c r="D34">
        <f>COUNTIFS('Controles marcos'!$A$2:$A$172,A34,'Controles marcos'!$E$2:$E$172,"&gt;0")</f>
        <v/>
      </c>
      <c r="E34" s="32">
        <f>IFERROR(AVERAGEIFS('Controles marcos'!$E$2:$E$172,'Controles marcos'!$A$2:$A$172,A34),"")</f>
        <v/>
      </c>
    </row>
    <row r="35">
      <c r="A35" t="inlineStr">
        <is>
          <t>CIS Controls v8.1</t>
        </is>
      </c>
      <c r="C35">
        <f>COUNTIF('Controles marcos'!$A$2:$A$172,A35)</f>
        <v/>
      </c>
      <c r="D35">
        <f>COUNTIFS('Controles marcos'!$A$2:$A$172,A35,'Controles marcos'!$E$2:$E$172,"&gt;0")</f>
        <v/>
      </c>
      <c r="E35" s="32">
        <f>IFERROR(AVERAGEIFS('Controles marcos'!$E$2:$E$172,'Controles marcos'!$A$2:$A$172,A35),"")</f>
        <v/>
      </c>
    </row>
    <row r="36">
      <c r="A36" t="inlineStr">
        <is>
          <t>COBIT 5</t>
        </is>
      </c>
      <c r="C36">
        <f>COUNTIF('Controles marcos'!$A$2:$A$172,A36)</f>
        <v/>
      </c>
      <c r="D36">
        <f>COUNTIFS('Controles marcos'!$A$2:$A$172,A36,'Controles marcos'!$E$2:$E$172,"&gt;0")</f>
        <v/>
      </c>
      <c r="E36" s="32">
        <f>IFERROR(AVERAGEIFS('Controles marcos'!$E$2:$E$172,'Controles marcos'!$A$2:$A$172,A36),"")</f>
        <v/>
      </c>
    </row>
    <row r="37">
      <c r="A37" t="inlineStr">
        <is>
          <t>PCI DSS v4.0.1</t>
        </is>
      </c>
      <c r="C37">
        <f>COUNTIF('Controles marcos'!$A$2:$A$172,A37)</f>
        <v/>
      </c>
      <c r="D37">
        <f>COUNTIFS('Controles marcos'!$A$2:$A$172,A37,'Controles marcos'!$E$2:$E$172,"&gt;0")</f>
        <v/>
      </c>
      <c r="E37" s="32">
        <f>IFERROR(AVERAGEIFS('Controles marcos'!$E$2:$E$172,'Controles marcos'!$A$2:$A$172,A37),"")</f>
        <v/>
      </c>
    </row>
    <row r="38">
      <c r="A38" t="inlineStr">
        <is>
          <t>Normativa chilena</t>
        </is>
      </c>
      <c r="C38">
        <f>COUNTIF('Controles marcos'!$A$2:$A$172,A38)</f>
        <v/>
      </c>
      <c r="D38">
        <f>COUNTIFS('Controles marcos'!$A$2:$A$172,A38,'Controles marcos'!$E$2:$E$172,"&gt;0")</f>
        <v/>
      </c>
      <c r="E38" s="32">
        <f>IFERROR(AVERAGEIFS('Controles marcos'!$E$2:$E$172,'Controles marcos'!$A$2:$A$172,A38),"")</f>
        <v/>
      </c>
    </row>
    <row r="40">
      <c r="A40" s="5" t="inlineStr">
        <is>
          <t>ISO 27001 por tema</t>
        </is>
      </c>
    </row>
    <row r="42">
      <c r="A42" s="5" t="inlineStr">
        <is>
          <t>NIST CSF 2.0 por función</t>
        </is>
      </c>
    </row>
    <row r="43">
      <c r="A43" t="inlineStr">
        <is>
          <t>GOVERN</t>
        </is>
      </c>
      <c r="C43">
        <f>COUNTIFS('Controles marcos'!$D$2:$D$172,A43,'Controles marcos'!$A$2:$A$172,"NIST CSF 2.0")</f>
        <v/>
      </c>
      <c r="D43">
        <f>COUNTIFS('Controles marcos'!$D$2:$D$172,A43,'Controles marcos'!$A$2:$A$172,"NIST CSF 2.0",'Controles marcos'!$E$2:$E$172,"&gt;0")</f>
        <v/>
      </c>
      <c r="E43" s="32">
        <f>IFERROR(AVERAGEIFS('Controles marcos'!$E$2:$E$172,'Controles marcos'!$D$2:$D$172,A43,'Controles marcos'!$A$2:$A$172,"NIST CSF 2.0"),"")</f>
        <v/>
      </c>
    </row>
    <row r="44">
      <c r="A44" t="inlineStr">
        <is>
          <t>IDENTIFY</t>
        </is>
      </c>
      <c r="C44">
        <f>COUNTIFS('Controles marcos'!$D$2:$D$172,A44,'Controles marcos'!$A$2:$A$172,"NIST CSF 2.0")</f>
        <v/>
      </c>
      <c r="D44">
        <f>COUNTIFS('Controles marcos'!$D$2:$D$172,A44,'Controles marcos'!$A$2:$A$172,"NIST CSF 2.0",'Controles marcos'!$E$2:$E$172,"&gt;0")</f>
        <v/>
      </c>
      <c r="E44" s="32">
        <f>IFERROR(AVERAGEIFS('Controles marcos'!$E$2:$E$172,'Controles marcos'!$D$2:$D$172,A44,'Controles marcos'!$A$2:$A$172,"NIST CSF 2.0"),"")</f>
        <v/>
      </c>
    </row>
    <row r="45">
      <c r="A45" t="inlineStr">
        <is>
          <t>PROTECT</t>
        </is>
      </c>
      <c r="C45">
        <f>COUNTIFS('Controles marcos'!$D$2:$D$172,A45,'Controles marcos'!$A$2:$A$172,"NIST CSF 2.0")</f>
        <v/>
      </c>
      <c r="D45">
        <f>COUNTIFS('Controles marcos'!$D$2:$D$172,A45,'Controles marcos'!$A$2:$A$172,"NIST CSF 2.0",'Controles marcos'!$E$2:$E$172,"&gt;0")</f>
        <v/>
      </c>
      <c r="E45" s="32">
        <f>IFERROR(AVERAGEIFS('Controles marcos'!$E$2:$E$172,'Controles marcos'!$D$2:$D$172,A45,'Controles marcos'!$A$2:$A$172,"NIST CSF 2.0"),"")</f>
        <v/>
      </c>
    </row>
    <row r="46">
      <c r="A46" t="inlineStr">
        <is>
          <t>RESPOND</t>
        </is>
      </c>
      <c r="C46">
        <f>COUNTIFS('Controles marcos'!$D$2:$D$172,A46,'Controles marcos'!$A$2:$A$172,"NIST CSF 2.0")</f>
        <v/>
      </c>
      <c r="D46">
        <f>COUNTIFS('Controles marcos'!$D$2:$D$172,A46,'Controles marcos'!$A$2:$A$172,"NIST CSF 2.0",'Controles marcos'!$E$2:$E$172,"&gt;0")</f>
        <v/>
      </c>
      <c r="E46" s="32">
        <f>IFERROR(AVERAGEIFS('Controles marcos'!$E$2:$E$172,'Controles marcos'!$D$2:$D$172,A46,'Controles marcos'!$A$2:$A$172,"NIST CSF 2.0"),"")</f>
        <v/>
      </c>
    </row>
    <row r="47">
      <c r="A47" t="inlineStr">
        <is>
          <t>RECOVER</t>
        </is>
      </c>
      <c r="C47">
        <f>COUNTIFS('Controles marcos'!$D$2:$D$172,A47,'Controles marcos'!$A$2:$A$172,"NIST CSF 2.0")</f>
        <v/>
      </c>
      <c r="D47">
        <f>COUNTIFS('Controles marcos'!$D$2:$D$172,A47,'Controles marcos'!$A$2:$A$172,"NIST CSF 2.0",'Controles marcos'!$E$2:$E$172,"&gt;0")</f>
        <v/>
      </c>
      <c r="E47" s="32">
        <f>IFERROR(AVERAGEIFS('Controles marcos'!$E$2:$E$172,'Controles marcos'!$D$2:$D$172,A47,'Controles marcos'!$A$2:$A$172,"NIST CSF 2.0"),"")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5">
    <mergeCell ref="A4:B4"/>
    <mergeCell ref="A38:B38"/>
    <mergeCell ref="A7:B7"/>
    <mergeCell ref="A43:B43"/>
    <mergeCell ref="A33:B33"/>
    <mergeCell ref="A47:B47"/>
    <mergeCell ref="A5:B5"/>
    <mergeCell ref="A37:B37"/>
    <mergeCell ref="A45:B45"/>
    <mergeCell ref="A36:B36"/>
    <mergeCell ref="A46:B46"/>
    <mergeCell ref="A44:B44"/>
    <mergeCell ref="A6:B6"/>
    <mergeCell ref="A34:B34"/>
    <mergeCell ref="A35:B35"/>
  </mergeCells>
  <dataValidations count="1">
    <dataValidation sqref="C10:C27" showDropDown="0" showInputMessage="0" showErrorMessage="1" allowBlank="1" errorTitle="Peso no válido" error="Ingrese un porcentaje entre 0% y 100%." type="decimal" operator="between">
      <formula1>0</formula1>
      <formula2>1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70" customWidth="1" min="3" max="3"/>
    <col width="58" customWidth="1" min="4" max="4"/>
    <col width="12" customWidth="1" min="5" max="5"/>
    <col width="40" customWidth="1" min="6" max="6"/>
    <col width="36" customWidth="1" min="7" max="7"/>
    <col width="16" customWidth="1" min="8" max="8"/>
    <col width="13" customWidth="1" min="9" max="9"/>
    <col width="26" customWidth="1" min="10" max="10"/>
    <col width="16" customWidth="1" min="11" max="11"/>
    <col width="18" customWidth="1" min="12" max="12"/>
  </cols>
  <sheetData>
    <row r="1">
      <c r="A1" s="11" t="inlineStr">
        <is>
          <t>Dimensión</t>
        </is>
      </c>
      <c r="B1" s="11" t="inlineStr">
        <is>
          <t>ID</t>
        </is>
      </c>
      <c r="C1" s="11" t="inlineStr">
        <is>
          <t>Requisito: qué debe existir y cómo verificarlo</t>
        </is>
      </c>
      <c r="D1" s="11" t="inlineStr">
        <is>
          <t>Controles e indicadores que alimentan el puntaje (el puntaje es su promedio)</t>
        </is>
      </c>
      <c r="E1" s="11" t="inlineStr">
        <is>
          <t>Puntaje (1-5)</t>
        </is>
      </c>
      <c r="F1" s="11" t="inlineStr">
        <is>
          <t>Evidencia encontrada (escriba aquí)</t>
        </is>
      </c>
      <c r="G1" s="11" t="inlineStr">
        <is>
          <t>Brecha / plan de acción (escriba aquí)</t>
        </is>
      </c>
      <c r="H1" s="11" t="inlineStr">
        <is>
          <t>Responsable</t>
        </is>
      </c>
      <c r="I1" s="11" t="inlineStr">
        <is>
          <t>Fecha límite</t>
        </is>
      </c>
      <c r="J1" s="11" t="inlineStr">
        <is>
          <t>Tipo de requisito</t>
        </is>
      </c>
      <c r="K1" s="11" t="inlineStr">
        <is>
          <t>Incluir en puntaje (Sí/No)</t>
        </is>
      </c>
      <c r="L1" s="11" t="inlineStr">
        <is>
          <t>Puntaje considerado (automático)</t>
        </is>
      </c>
    </row>
    <row r="2" ht="75" customHeight="1">
      <c r="A2" s="12" t="inlineStr">
        <is>
          <t>D1</t>
        </is>
      </c>
      <c r="B2" s="12" t="inlineStr">
        <is>
          <t>1.1</t>
        </is>
      </c>
      <c r="C2" s="12" t="inlineStr">
        <is>
          <t>La organización tiene una política de protección de datos personales aprobada por la dirección y comunicada a todo el personal. Verificar: documento firmado, fecha de aprobación y constancia de difusión.</t>
        </is>
      </c>
      <c r="D2" s="12" t="inlineStr">
        <is>
          <t>• 5.1 · Políticas de seguridad de la información
• NIST GV.PO-01 · Política de gestión del riesgo establecida</t>
        </is>
      </c>
      <c r="E2" s="33">
        <f>IFERROR(AVERAGE('Controles marcos'!$E$2,'Controles marcos'!$E$104),"")</f>
        <v/>
      </c>
      <c r="F2" s="9" t="n"/>
      <c r="G2" s="9" t="n"/>
      <c r="H2" s="9" t="n"/>
      <c r="I2" s="9" t="n"/>
      <c r="J2" s="12" t="inlineStr">
        <is>
          <t>Obligatorio Ley 21.719</t>
        </is>
      </c>
      <c r="K2" s="34" t="inlineStr">
        <is>
          <t>Sí</t>
        </is>
      </c>
      <c r="L2" s="23">
        <f>IF(AND(K2="Sí",ISNUMBER(E2)),E2,"")</f>
        <v/>
      </c>
    </row>
    <row r="3" ht="75" customHeight="1">
      <c r="A3" s="12" t="inlineStr">
        <is>
          <t>D1</t>
        </is>
      </c>
      <c r="B3" s="12" t="inlineStr">
        <is>
          <t>1.2</t>
        </is>
      </c>
      <c r="C3" s="12" t="inlineStr">
        <is>
          <t>Existe una persona designada formalmente como responsable de privacidad (DPO o equivalente), con funciones y autoridad escritas. Verificar: nombramiento, descripción de funciones y a quién reporta.</t>
        </is>
      </c>
      <c r="D3" s="12" t="inlineStr">
        <is>
          <t>• 5.2 · Roles y responsabilidades de SI
• 5.3 · Segregación de funciones
• NIST GV.RR-02 · Roles, responsabilidades y autoridades definidos
• L21.719 Art.50 · Atribuciones del delegado de protección de datos
• L20.393 Art.4 N3 · Encargado de prevención de delitos</t>
        </is>
      </c>
      <c r="E3" s="33">
        <f>IFERROR(AVERAGE('Controles marcos'!$E$3,'Controles marcos'!$E$4,'Controles marcos'!$E$101,'Controles marcos'!$E$164,'Controles marcos'!$E$169),"")</f>
        <v/>
      </c>
      <c r="F3" s="9" t="n"/>
      <c r="G3" s="9" t="n"/>
      <c r="H3" s="9" t="n"/>
      <c r="I3" s="9" t="n"/>
      <c r="J3" s="12" t="inlineStr">
        <is>
          <t>Obligatorio Ley 21.719</t>
        </is>
      </c>
      <c r="K3" s="34" t="inlineStr">
        <is>
          <t>Sí</t>
        </is>
      </c>
      <c r="L3" s="23">
        <f>IF(AND(K3="Sí",ISNUMBER(E3)),E3,"")</f>
        <v/>
      </c>
    </row>
    <row r="4" ht="75" customHeight="1">
      <c r="A4" s="12" t="inlineStr">
        <is>
          <t>D1</t>
        </is>
      </c>
      <c r="B4" s="12" t="inlineStr">
        <is>
          <t>1.3</t>
        </is>
      </c>
      <c r="C4" s="12" t="inlineStr">
        <is>
          <t>La dirección asigna personas, herramientas y presupuesto para cumplir la ley. Verificar: presupuesto anual de privacidad y dedicación del responsable.</t>
        </is>
      </c>
      <c r="D4" s="12" t="inlineStr">
        <is>
          <t>• 5.4 · Responsabilidades de la dirección
• NIST GV.RR-03 · Recursos asignados a la ciberseguridad</t>
        </is>
      </c>
      <c r="E4" s="33">
        <f>IFERROR(AVERAGE('Controles marcos'!$E$5,'Controles marcos'!$E$102),"")</f>
        <v/>
      </c>
      <c r="F4" s="9" t="n"/>
      <c r="G4" s="9" t="n"/>
      <c r="H4" s="9" t="n"/>
      <c r="I4" s="9" t="n"/>
      <c r="J4" s="12" t="inlineStr">
        <is>
          <t>Obligatorio Ley 21.719</t>
        </is>
      </c>
      <c r="K4" s="34" t="inlineStr">
        <is>
          <t>Sí</t>
        </is>
      </c>
      <c r="L4" s="23">
        <f>IF(AND(K4="Sí",ISNUMBER(E4)),E4,"")</f>
        <v/>
      </c>
    </row>
    <row r="5" ht="75" customHeight="1">
      <c r="A5" s="12" t="inlineStr">
        <is>
          <t>D1</t>
        </is>
      </c>
      <c r="B5" s="12" t="inlineStr">
        <is>
          <t>1.4</t>
        </is>
      </c>
      <c r="C5" s="12" t="inlineStr">
        <is>
          <t>Existe un programa de adecuación a la ley con modelo de prevención de infracciones documentado. Verificar: plan con responsables, fechas y avance.</t>
        </is>
      </c>
      <c r="D5" s="12" t="inlineStr">
        <is>
          <t>• 5.31 · Requisitos legales, estatutarios y contractuales
• 5.36 · Cumplimiento con políticas y normas de SI
• NIST GV.OC-03 · Obligaciones legales, regulatorias y contractuales
• L21.719 Programa adecuación · Programa de adecuación de la organización
• L20.393 Art.4 · Modelo de prevención de delitos vigente
• L21.719 Art.49 · Modelo de prevención de infracciones
• L20.393 Art.4 N2 · Protocolos y procedimientos de control</t>
        </is>
      </c>
      <c r="E5" s="33">
        <f>IFERROR(AVERAGE('Controles marcos'!$E$32,'Controles marcos'!$E$37,'Controles marcos'!$E$97,'Controles marcos'!$E$165,'Controles marcos'!$E$168,'Controles marcos'!$E$163,'Controles marcos'!$E$170),"")</f>
        <v/>
      </c>
      <c r="F5" s="9" t="n"/>
      <c r="G5" s="9" t="n"/>
      <c r="H5" s="9" t="n"/>
      <c r="I5" s="9" t="n"/>
      <c r="J5" s="12" t="inlineStr">
        <is>
          <t>Obligatorio Ley 21.719</t>
        </is>
      </c>
      <c r="K5" s="34" t="inlineStr">
        <is>
          <t>Sí</t>
        </is>
      </c>
      <c r="L5" s="23">
        <f>IF(AND(K5="Sí",ISNUMBER(E5)),E5,"")</f>
        <v/>
      </c>
    </row>
    <row r="6" ht="75" customHeight="1">
      <c r="A6" s="12" t="inlineStr">
        <is>
          <t>D1</t>
        </is>
      </c>
      <c r="B6" s="12" t="inlineStr">
        <is>
          <t>1.5</t>
        </is>
      </c>
      <c r="C6" s="12" t="inlineStr">
        <is>
          <t>Las evidencias de cumplimiento están ordenadas y se pueden presentar a la autoridad en cualquier momento. Verificar: carpeta de evidencias actualizada y con fechas.</t>
        </is>
      </c>
      <c r="D6" s="12" t="inlineStr">
        <is>
          <t>• 5.36 · Cumplimiento con políticas y normas de SI
• 5.35 · Revisión independiente de SI
• NIST GV.PO-02 · Política revisada y actualizada</t>
        </is>
      </c>
      <c r="E6" s="33">
        <f>IFERROR(AVERAGE('Controles marcos'!$E$37,'Controles marcos'!$E$36,'Controles marcos'!$E$105),"")</f>
        <v/>
      </c>
      <c r="F6" s="9" t="n"/>
      <c r="G6" s="9" t="n"/>
      <c r="H6" s="9" t="n"/>
      <c r="I6" s="9" t="n"/>
      <c r="J6" s="12" t="inlineStr">
        <is>
          <t>Obligatorio Ley 21.719</t>
        </is>
      </c>
      <c r="K6" s="34" t="inlineStr">
        <is>
          <t>Sí</t>
        </is>
      </c>
      <c r="L6" s="23">
        <f>IF(AND(K6="Sí",ISNUMBER(E6)),E6,"")</f>
        <v/>
      </c>
    </row>
    <row r="7" ht="75" customHeight="1">
      <c r="A7" s="12" t="inlineStr">
        <is>
          <t>D1</t>
        </is>
      </c>
      <c r="B7" s="12" t="inlineStr">
        <is>
          <t>1.6</t>
        </is>
      </c>
      <c r="C7" s="12" t="inlineStr">
        <is>
          <t>Para cada tratamiento está definido si la organización actúa como responsable (decide para qué se usan los datos) o encargado (los trata por cuenta de otro). Verificar: matriz de roles por tratamiento.</t>
        </is>
      </c>
      <c r="D7" s="12" t="inlineStr">
        <is>
          <t>• 5.31 · Requisitos legales, estatutarios y contractuales
• NIST GV.OC-02 · Partes interesadas y sus expectativas</t>
        </is>
      </c>
      <c r="E7" s="33">
        <f>IFERROR(AVERAGE('Controles marcos'!$E$32,'Controles marcos'!$E$96),"")</f>
        <v/>
      </c>
      <c r="F7" s="9" t="n"/>
      <c r="G7" s="9" t="n"/>
      <c r="H7" s="9" t="n"/>
      <c r="I7" s="9" t="n"/>
      <c r="J7" s="12" t="inlineStr">
        <is>
          <t>Obligatorio Ley 21.719</t>
        </is>
      </c>
      <c r="K7" s="34" t="inlineStr">
        <is>
          <t>Sí</t>
        </is>
      </c>
      <c r="L7" s="23">
        <f>IF(AND(K7="Sí",ISNUMBER(E7)),E7,"")</f>
        <v/>
      </c>
    </row>
    <row r="8" ht="75" customHeight="1">
      <c r="A8" s="12" t="inlineStr">
        <is>
          <t>D1</t>
        </is>
      </c>
      <c r="B8" s="12" t="inlineStr">
        <is>
          <t>1.7</t>
        </is>
      </c>
      <c r="C8" s="12" t="inlineStr">
        <is>
          <t>Existen contactos formales con la Agencia de Protección de Datos, el CPLT y la ANCI, y se mantienen actualizados. Verificar: directorio de contactos y fecha de la última actualización.</t>
        </is>
      </c>
      <c r="D8" s="12" t="inlineStr">
        <is>
          <t>• 5.5 · Contacto con autoridades
• 5.6 · Contacto con grupos de interés especial</t>
        </is>
      </c>
      <c r="E8" s="33">
        <f>IFERROR(AVERAGE('Controles marcos'!$E$6,'Controles marcos'!$E$7),"")</f>
        <v/>
      </c>
      <c r="F8" s="9" t="n"/>
      <c r="G8" s="9" t="n"/>
      <c r="H8" s="9" t="n"/>
      <c r="I8" s="9" t="n"/>
      <c r="J8" s="12" t="inlineStr">
        <is>
          <t>Obligatorio Ley 21.719</t>
        </is>
      </c>
      <c r="K8" s="34" t="inlineStr">
        <is>
          <t>Sí</t>
        </is>
      </c>
      <c r="L8" s="23">
        <f>IF(AND(K8="Sí",ISNUMBER(E8)),E8,"")</f>
        <v/>
      </c>
    </row>
    <row r="9" ht="75" customHeight="1">
      <c r="A9" s="12" t="inlineStr">
        <is>
          <t>D1</t>
        </is>
      </c>
      <c r="B9" s="12" t="inlineStr">
        <is>
          <t>1.8</t>
        </is>
      </c>
      <c r="C9" s="12" t="inlineStr">
        <is>
          <t>La dirección lidera la cultura de cumplimiento y el riesgo de privacidad forma parte de sus decisiones. Verificar: actas o reportes donde la dirección revisa privacidad.</t>
        </is>
      </c>
      <c r="D9" s="12" t="inlineStr">
        <is>
          <t>• NIST GV.RR-01 · Liderazgo responsable del riesgo de ciberseguridad
• NIST GV.OC-01 · Misión y contexto de la organización</t>
        </is>
      </c>
      <c r="E9" s="33">
        <f>IFERROR(AVERAGE('Controles marcos'!$E$100,'Controles marcos'!$E$95),"")</f>
        <v/>
      </c>
      <c r="F9" s="9" t="n"/>
      <c r="G9" s="9" t="n"/>
      <c r="H9" s="9" t="n"/>
      <c r="I9" s="9" t="n"/>
      <c r="J9" s="12" t="inlineStr">
        <is>
          <t>Obligatorio Ley 21.719</t>
        </is>
      </c>
      <c r="K9" s="34" t="inlineStr">
        <is>
          <t>Sí</t>
        </is>
      </c>
      <c r="L9" s="23">
        <f>IF(AND(K9="Sí",ISNUMBER(E9)),E9,"")</f>
        <v/>
      </c>
    </row>
    <row r="10" ht="75" customHeight="1">
      <c r="A10" s="12" t="inlineStr">
        <is>
          <t>D1</t>
        </is>
      </c>
      <c r="B10" s="12" t="inlineStr">
        <is>
          <t>1.9</t>
        </is>
      </c>
      <c r="C10" s="12" t="inlineStr">
        <is>
          <t>Clientes, proveedores y otras partes externas conocen el compromiso de la organización con la privacidad y la seguridad. Verificar: políticas publicadas y declaraciones en contratos o sitio web.</t>
        </is>
      </c>
      <c r="D10" s="12" t="inlineStr">
        <is>
          <t>• NIST GV.OC-04 · Expectativas de partes externas sobre la organización
• NIST GV.OC-05 · Dependencias y servicios críticos de la organización</t>
        </is>
      </c>
      <c r="E10" s="33">
        <f>IFERROR(AVERAGE('Controles marcos'!$E$98,'Controles marcos'!$E$99),"")</f>
        <v/>
      </c>
      <c r="F10" s="9" t="n"/>
      <c r="G10" s="9" t="n"/>
      <c r="H10" s="9" t="n"/>
      <c r="I10" s="9" t="n"/>
      <c r="J10" s="12" t="inlineStr">
        <is>
          <t>Obligatorio Ley 21.719</t>
        </is>
      </c>
      <c r="K10" s="34" t="inlineStr">
        <is>
          <t>Sí</t>
        </is>
      </c>
      <c r="L10" s="23">
        <f>IF(AND(K10="Sí",ISNUMBER(E10)),E10,"")</f>
        <v/>
      </c>
    </row>
    <row r="11" ht="75" customHeight="1">
      <c r="A11" s="12" t="inlineStr">
        <is>
          <t>D1</t>
        </is>
      </c>
      <c r="B11" s="12" t="inlineStr">
        <is>
          <t>1.10</t>
        </is>
      </c>
      <c r="C11" s="12" t="inlineStr">
        <is>
          <t>Los procedimientos para tratar datos personales están escritos y disponibles para quien los usa. Verificar: lista de procedimientos con versión y fecha.</t>
        </is>
      </c>
      <c r="D11" s="12" t="inlineStr">
        <is>
          <t>• 5.37 · Procedimientos de operación documentados</t>
        </is>
      </c>
      <c r="E11" s="33">
        <f>IFERROR(AVERAGE('Controles marcos'!$E$38),"")</f>
        <v/>
      </c>
      <c r="F11" s="9" t="n"/>
      <c r="G11" s="9" t="n"/>
      <c r="H11" s="9" t="n"/>
      <c r="I11" s="9" t="n"/>
      <c r="J11" s="12" t="inlineStr">
        <is>
          <t>Obligatorio Ley 21.719</t>
        </is>
      </c>
      <c r="K11" s="34" t="inlineStr">
        <is>
          <t>Sí</t>
        </is>
      </c>
      <c r="L11" s="23">
        <f>IF(AND(K11="Sí",ISNUMBER(E11)),E11,"")</f>
        <v/>
      </c>
    </row>
    <row r="12" ht="75" customHeight="1">
      <c r="A12" s="12" t="inlineStr">
        <is>
          <t>D1</t>
        </is>
      </c>
      <c r="B12" s="12" t="inlineStr">
        <is>
          <t>1.11</t>
        </is>
      </c>
      <c r="C12" s="12" t="inlineStr">
        <is>
          <t>Los sistemas que tratan datos cuentan con licencias vigentes y se controla el uso de software con propiedad intelectual. Verificar: inventario de licencias.</t>
        </is>
      </c>
      <c r="D12" s="12" t="inlineStr">
        <is>
          <t>• 5.32 · Derechos de propiedad intelectual</t>
        </is>
      </c>
      <c r="E12" s="33">
        <f>IFERROR(AVERAGE('Controles marcos'!$E$33),"")</f>
        <v/>
      </c>
      <c r="F12" s="9" t="n"/>
      <c r="G12" s="9" t="n"/>
      <c r="H12" s="9" t="n"/>
      <c r="I12" s="9" t="n"/>
      <c r="J12" s="12" t="inlineStr">
        <is>
          <t>Obligatorio Ley 21.719</t>
        </is>
      </c>
      <c r="K12" s="34" t="inlineStr">
        <is>
          <t>Sí</t>
        </is>
      </c>
      <c r="L12" s="23">
        <f>IF(AND(K12="Sí",ISNUMBER(E12)),E12,"")</f>
        <v/>
      </c>
    </row>
    <row r="13" ht="75" customHeight="1">
      <c r="A13" s="12" t="inlineStr">
        <is>
          <t>D1</t>
        </is>
      </c>
      <c r="B13" s="12" t="inlineStr">
        <is>
          <t>1.12</t>
        </is>
      </c>
      <c r="C13" s="12" t="inlineStr">
        <is>
          <t>Existen políticas técnicas escritas y aprobadas sobre control de acceso por roles, respaldos, malware, phishing y uso aceptable. Verificar: cada política, su fecha y quién la aprueba.</t>
        </is>
      </c>
      <c r="D13" s="12" t="inlineStr">
        <is>
          <t>• 5.10 · Uso aceptable de información
• 5.1 · Políticas de seguridad de la información
• NIST GV.PO-01 · Política de gestión del riesgo establecida</t>
        </is>
      </c>
      <c r="E13" s="33">
        <f>IFERROR(AVERAGE('Controles marcos'!$E$11,'Controles marcos'!$E$2,'Controles marcos'!$E$104),"")</f>
        <v/>
      </c>
      <c r="F13" s="9" t="n"/>
      <c r="G13" s="9" t="n"/>
      <c r="H13" s="9" t="n"/>
      <c r="I13" s="9" t="n"/>
      <c r="J13" s="12" t="inlineStr">
        <is>
          <t>Obligatorio Ley 21.719</t>
        </is>
      </c>
      <c r="K13" s="34" t="inlineStr">
        <is>
          <t>Sí</t>
        </is>
      </c>
      <c r="L13" s="23">
        <f>IF(AND(K13="Sí",ISNUMBER(E13)),E13,"")</f>
        <v/>
      </c>
    </row>
    <row r="14" ht="75" customHeight="1">
      <c r="A14" s="12" t="inlineStr">
        <is>
          <t>D1</t>
        </is>
      </c>
      <c r="B14" s="12" t="inlineStr">
        <is>
          <t>1.13</t>
        </is>
      </c>
      <c r="C14" s="12" t="inlineStr">
        <is>
          <t>Comité de privacidad formal con actas que revisa tratamientos de alto riesgo y decisiones de cumplimiento.</t>
        </is>
      </c>
      <c r="D14" s="12" t="inlineStr">
        <is>
          <t>• 5.4 · Responsabilidades de la dirección
• NIST GV.RR-01 · Liderazgo responsable del riesgo de ciberseguridad</t>
        </is>
      </c>
      <c r="E14" s="33">
        <f>IFERROR(AVERAGE('Controles marcos'!$E$5,'Controles marcos'!$E$100),"")</f>
        <v/>
      </c>
      <c r="F14" s="9" t="n"/>
      <c r="G14" s="9" t="n"/>
      <c r="H14" s="9" t="n"/>
      <c r="I14" s="9" t="n"/>
      <c r="J14" s="12" t="inlineStr">
        <is>
          <t>Extra (marco o buena práctica)</t>
        </is>
      </c>
      <c r="K14" s="34" t="inlineStr">
        <is>
          <t>No</t>
        </is>
      </c>
      <c r="L14" s="23">
        <f>IF(AND(K14="Sí",ISNUMBER(E14)),E14,"")</f>
        <v/>
      </c>
    </row>
    <row r="15" ht="75" customHeight="1">
      <c r="A15" s="12" t="inlineStr">
        <is>
          <t>D1</t>
        </is>
      </c>
      <c r="B15" s="12" t="inlineStr">
        <is>
          <t>1.14</t>
        </is>
      </c>
      <c r="C15" s="12" t="inlineStr">
        <is>
          <t>Evaluación de privacidad y seguridad antes de contratar proveedores tecnológicos nuevos (due diligence).</t>
        </is>
      </c>
      <c r="D15" s="12" t="inlineStr">
        <is>
          <t>• 5.19 · Seguridad en relaciones con proveedores
• 5.21 · Gestión de seguridad en cadena TIC</t>
        </is>
      </c>
      <c r="E15" s="33">
        <f>IFERROR(AVERAGE('Controles marcos'!$E$20,'Controles marcos'!$E$22),"")</f>
        <v/>
      </c>
      <c r="F15" s="9" t="n"/>
      <c r="G15" s="9" t="n"/>
      <c r="H15" s="9" t="n"/>
      <c r="I15" s="9" t="n"/>
      <c r="J15" s="12" t="inlineStr">
        <is>
          <t>Extra (marco o buena práctica)</t>
        </is>
      </c>
      <c r="K15" s="34" t="inlineStr">
        <is>
          <t>No</t>
        </is>
      </c>
      <c r="L15" s="23">
        <f>IF(AND(K15="Sí",ISNUMBER(E15)),E15,"")</f>
        <v/>
      </c>
    </row>
    <row r="16" ht="75" customHeight="1">
      <c r="A16" s="12" t="inlineStr">
        <is>
          <t>D2</t>
        </is>
      </c>
      <c r="B16" s="12" t="inlineStr">
        <is>
          <t>2.1</t>
        </is>
      </c>
      <c r="C16" s="12" t="inlineStr">
        <is>
          <t>Existe un Registro de Actividades de Tratamiento (RAT) que describe, para cada actividad, la finalidad, la base legal, los tipos de datos, los titulares, los destinatarios, los plazos y las medidas de seguridad. Verificar: hoja RAT completa (indicador automático).</t>
        </is>
      </c>
      <c r="D16" s="12" t="inlineStr">
        <is>
          <t>• Indicador automático: completitud del RAT (hoja RAT)
• 5.9 · Inventario de información y activos</t>
        </is>
      </c>
      <c r="E16" s="33">
        <f>IFERROR(AVERAGE(Resumen!$C$4,'Controles marcos'!$E$10),"")</f>
        <v/>
      </c>
      <c r="F16" s="9" t="n"/>
      <c r="G16" s="9" t="n"/>
      <c r="H16" s="9" t="n"/>
      <c r="I16" s="9" t="n"/>
      <c r="J16" s="12" t="inlineStr">
        <is>
          <t>Obligatorio Ley 21.719</t>
        </is>
      </c>
      <c r="K16" s="34" t="inlineStr">
        <is>
          <t>Sí</t>
        </is>
      </c>
      <c r="L16" s="23">
        <f>IF(AND(K16="Sí",ISNUMBER(E16)),E16,"")</f>
        <v/>
      </c>
    </row>
    <row r="17" ht="75" customHeight="1">
      <c r="A17" s="12" t="inlineStr">
        <is>
          <t>D2</t>
        </is>
      </c>
      <c r="B17" s="12" t="inlineStr">
        <is>
          <t>2.2</t>
        </is>
      </c>
      <c r="C17" s="12" t="inlineStr">
        <is>
          <t>Existe un listado de los sistemas, aplicaciones y bases de datos que tratan datos personales. Verificar: inventario con nombre del sistema, dueño y tipo de datos.</t>
        </is>
      </c>
      <c r="D17" s="12" t="inlineStr">
        <is>
          <t>• 5.9 · Inventario de información y activos
• NIST ID.AM-02 · Inventario de software y servicios
• CIS 1 · Inventario de activos empresariales</t>
        </is>
      </c>
      <c r="E17" s="33">
        <f>IFERROR(AVERAGE('Controles marcos'!$E$10,'Controles marcos'!$E$107,'Controles marcos'!$E$137),"")</f>
        <v/>
      </c>
      <c r="F17" s="9" t="n"/>
      <c r="G17" s="9" t="n"/>
      <c r="H17" s="9" t="n"/>
      <c r="I17" s="9" t="n"/>
      <c r="J17" s="12" t="inlineStr">
        <is>
          <t>Obligatorio Ley 21.719</t>
        </is>
      </c>
      <c r="K17" s="34" t="inlineStr">
        <is>
          <t>Sí</t>
        </is>
      </c>
      <c r="L17" s="23">
        <f>IF(AND(K17="Sí",ISNUMBER(E17)),E17,"")</f>
        <v/>
      </c>
    </row>
    <row r="18" ht="75" customHeight="1">
      <c r="A18" s="12" t="inlineStr">
        <is>
          <t>D2</t>
        </is>
      </c>
      <c r="B18" s="12" t="inlineStr">
        <is>
          <t>2.3</t>
        </is>
      </c>
      <c r="C18" s="12" t="inlineStr">
        <is>
          <t>Hay un diagrama de los flujos de datos personales dentro de la organización y hacia terceros (incluida la nube). Verificar: diagrama actualizado y su fecha.</t>
        </is>
      </c>
      <c r="D18" s="12" t="inlineStr">
        <is>
          <t>• NIST ID.AM-03 · Mapa de flujos de datos y comunicaciones</t>
        </is>
      </c>
      <c r="E18" s="33">
        <f>IFERROR(AVERAGE('Controles marcos'!$E$108),"")</f>
        <v/>
      </c>
      <c r="F18" s="9" t="n"/>
      <c r="G18" s="9" t="n"/>
      <c r="H18" s="9" t="n"/>
      <c r="I18" s="9" t="n"/>
      <c r="J18" s="12" t="inlineStr">
        <is>
          <t>Obligatorio Ley 21.719</t>
        </is>
      </c>
      <c r="K18" s="34" t="inlineStr">
        <is>
          <t>Sí</t>
        </is>
      </c>
      <c r="L18" s="23">
        <f>IF(AND(K18="Sí",ISNUMBER(E18)),E18,"")</f>
        <v/>
      </c>
    </row>
    <row r="19" ht="75" customHeight="1">
      <c r="A19" s="12" t="inlineStr">
        <is>
          <t>D2</t>
        </is>
      </c>
      <c r="B19" s="12" t="inlineStr">
        <is>
          <t>2.4</t>
        </is>
      </c>
      <c r="C19" s="12" t="inlineStr">
        <is>
          <t>El RAT se revisa al menos una vez al año y cada vez que cambia un proceso o sistema. Verificar: fecha de última revisión en la hoja RAT y registro de cambios.</t>
        </is>
      </c>
      <c r="D19" s="12" t="inlineStr">
        <is>
          <t>• NIST ID.AM-01 · Inventario de hardware
• 5.9 · Inventario de información y activos</t>
        </is>
      </c>
      <c r="E19" s="33">
        <f>IFERROR(AVERAGE('Controles marcos'!$E$106,'Controles marcos'!$E$10),"")</f>
        <v/>
      </c>
      <c r="F19" s="9" t="n"/>
      <c r="G19" s="9" t="n"/>
      <c r="H19" s="9" t="n"/>
      <c r="I19" s="9" t="n"/>
      <c r="J19" s="12" t="inlineStr">
        <is>
          <t>Obligatorio Ley 21.719</t>
        </is>
      </c>
      <c r="K19" s="34" t="inlineStr">
        <is>
          <t>Sí</t>
        </is>
      </c>
      <c r="L19" s="23">
        <f>IF(AND(K19="Sí",ISNUMBER(E19)),E19,"")</f>
        <v/>
      </c>
    </row>
    <row r="20" ht="75" customHeight="1">
      <c r="A20" s="12" t="inlineStr">
        <is>
          <t>D2</t>
        </is>
      </c>
      <c r="B20" s="12" t="inlineStr">
        <is>
          <t>2.5</t>
        </is>
      </c>
      <c r="C20" s="12" t="inlineStr">
        <is>
          <t>Los tratamientos de alto riesgo (por ejemplo, datos sensibles a gran escala, biometría o videovigilancia) están identificados en el RAT. Verificar: marca de riesgo en cada actividad.</t>
        </is>
      </c>
      <c r="D20" s="12" t="inlineStr">
        <is>
          <t>• NIST ID.AM-05 · Priorización de activos por criticidad</t>
        </is>
      </c>
      <c r="E20" s="33">
        <f>IFERROR(AVERAGE('Controles marcos'!$E$109),"")</f>
        <v/>
      </c>
      <c r="F20" s="9" t="n"/>
      <c r="G20" s="9" t="n"/>
      <c r="H20" s="9" t="n"/>
      <c r="I20" s="9" t="n"/>
      <c r="J20" s="12" t="inlineStr">
        <is>
          <t>Obligatorio Ley 21.719</t>
        </is>
      </c>
      <c r="K20" s="34" t="inlineStr">
        <is>
          <t>Sí</t>
        </is>
      </c>
      <c r="L20" s="23">
        <f>IF(AND(K20="Sí",ISNUMBER(E20)),E20,"")</f>
        <v/>
      </c>
    </row>
    <row r="21" ht="75" customHeight="1">
      <c r="A21" s="12" t="inlineStr">
        <is>
          <t>D2</t>
        </is>
      </c>
      <c r="B21" s="12" t="inlineStr">
        <is>
          <t>2.6</t>
        </is>
      </c>
      <c r="C21" s="12" t="inlineStr">
        <is>
          <t>Los datos personales están clasificados y etiquetados según su sensibilidad en repositorios y documentos. Verificar: esquema de clasificación y ejemplos etiquetados.</t>
        </is>
      </c>
      <c r="D21" s="12" t="inlineStr">
        <is>
          <t>• 5.12 · Clasificación de la información
• 5.13 · Etiquetado de la información</t>
        </is>
      </c>
      <c r="E21" s="33">
        <f>IFERROR(AVERAGE('Controles marcos'!$E$13,'Controles marcos'!$E$14),"")</f>
        <v/>
      </c>
      <c r="F21" s="9" t="n"/>
      <c r="G21" s="9" t="n"/>
      <c r="H21" s="9" t="n"/>
      <c r="I21" s="9" t="n"/>
      <c r="J21" s="12" t="inlineStr">
        <is>
          <t>Obligatorio Ley 21.719</t>
        </is>
      </c>
      <c r="K21" s="34" t="inlineStr">
        <is>
          <t>Sí</t>
        </is>
      </c>
      <c r="L21" s="23">
        <f>IF(AND(K21="Sí",ISNUMBER(E21)),E21,"")</f>
        <v/>
      </c>
    </row>
    <row r="22" ht="75" customHeight="1">
      <c r="A22" s="12" t="inlineStr">
        <is>
          <t>D2</t>
        </is>
      </c>
      <c r="B22" s="12" t="inlineStr">
        <is>
          <t>2.7</t>
        </is>
      </c>
      <c r="C22" s="12" t="inlineStr">
        <is>
          <t>Los sistemas y datos se gestionan desde su adquisición hasta su baja, con responsable en cada etapa. Verificar: procedimiento de ciclo de vida.</t>
        </is>
      </c>
      <c r="D22" s="12" t="inlineStr">
        <is>
          <t>• NIST ID.AM-08 · Gestión de activos a lo largo de su ciclo de vida</t>
        </is>
      </c>
      <c r="E22" s="33">
        <f>IFERROR(AVERAGE('Controles marcos'!$E$110),"")</f>
        <v/>
      </c>
      <c r="F22" s="9" t="n"/>
      <c r="G22" s="9" t="n"/>
      <c r="H22" s="9" t="n"/>
      <c r="I22" s="9" t="n"/>
      <c r="J22" s="12" t="inlineStr">
        <is>
          <t>Obligatorio Ley 21.719</t>
        </is>
      </c>
      <c r="K22" s="34" t="inlineStr">
        <is>
          <t>Sí</t>
        </is>
      </c>
      <c r="L22" s="23">
        <f>IF(AND(K22="Sí",ISNUMBER(E22)),E22,"")</f>
        <v/>
      </c>
    </row>
    <row r="23" ht="75" customHeight="1">
      <c r="A23" s="12" t="inlineStr">
        <is>
          <t>D3</t>
        </is>
      </c>
      <c r="B23" s="12" t="inlineStr">
        <is>
          <t>3.1</t>
        </is>
      </c>
      <c r="C23" s="12" t="inlineStr">
        <is>
          <t>Cada tratamiento de datos personales tiene una base legal (consentimiento, contrato, obligación legal, interés legítimo u otra) definida antes de iniciarse. Verificar: base legal registrada en el RAT.</t>
        </is>
      </c>
      <c r="D23" s="12" t="inlineStr">
        <is>
          <t>• 5.34 · Privacidad y protección de datos personales</t>
        </is>
      </c>
      <c r="E23" s="33">
        <f>IFERROR(AVERAGE('Controles marcos'!$E$35),"")</f>
        <v/>
      </c>
      <c r="F23" s="9" t="n"/>
      <c r="G23" s="9" t="n"/>
      <c r="H23" s="9" t="n"/>
      <c r="I23" s="9" t="n"/>
      <c r="J23" s="12" t="inlineStr">
        <is>
          <t>Obligatorio Ley 21.719</t>
        </is>
      </c>
      <c r="K23" s="34" t="inlineStr">
        <is>
          <t>Sí</t>
        </is>
      </c>
      <c r="L23" s="23">
        <f>IF(AND(K23="Sí",ISNUMBER(E23)),E23,"")</f>
        <v/>
      </c>
    </row>
    <row r="24" ht="75" customHeight="1">
      <c r="A24" s="12" t="inlineStr">
        <is>
          <t>D3</t>
        </is>
      </c>
      <c r="B24" s="12" t="inlineStr">
        <is>
          <t>3.2</t>
        </is>
      </c>
      <c r="C24" s="12" t="inlineStr">
        <is>
          <t>El consentimiento es libre, informado, específico e inequívoco, y no hay casillas premarcadas. Verificar: formularios reales con su captura de pantalla.</t>
        </is>
      </c>
      <c r="D24" s="12" t="inlineStr">
        <is>
          <t>• 5.34 · Privacidad y protección de datos personales</t>
        </is>
      </c>
      <c r="E24" s="33">
        <f>IFERROR(AVERAGE('Controles marcos'!$E$35),"")</f>
        <v/>
      </c>
      <c r="F24" s="9" t="n"/>
      <c r="G24" s="9" t="n"/>
      <c r="H24" s="9" t="n"/>
      <c r="I24" s="9" t="n"/>
      <c r="J24" s="12" t="inlineStr">
        <is>
          <t>Obligatorio Ley 21.719</t>
        </is>
      </c>
      <c r="K24" s="34" t="inlineStr">
        <is>
          <t>Sí</t>
        </is>
      </c>
      <c r="L24" s="23">
        <f>IF(AND(K24="Sí",ISNUMBER(E24)),E24,"")</f>
        <v/>
      </c>
    </row>
    <row r="25" ht="75" customHeight="1">
      <c r="A25" s="12" t="inlineStr">
        <is>
          <t>D3</t>
        </is>
      </c>
      <c r="B25" s="12" t="inlineStr">
        <is>
          <t>3.3</t>
        </is>
      </c>
      <c r="C25" s="12" t="inlineStr">
        <is>
          <t>Cada consentimiento queda registrado con fecha, canal, versión del aviso y la finalidad aceptada. Verificar: muestra de registros de consentimiento.</t>
        </is>
      </c>
      <c r="D25" s="12" t="inlineStr">
        <is>
          <t>• 5.34 · Privacidad y protección de datos personales
• 5.33 · Protección de registros</t>
        </is>
      </c>
      <c r="E25" s="33">
        <f>IFERROR(AVERAGE('Controles marcos'!$E$35,'Controles marcos'!$E$34),"")</f>
        <v/>
      </c>
      <c r="F25" s="9" t="n"/>
      <c r="G25" s="9" t="n"/>
      <c r="H25" s="9" t="n"/>
      <c r="I25" s="9" t="n"/>
      <c r="J25" s="12" t="inlineStr">
        <is>
          <t>Obligatorio Ley 21.719</t>
        </is>
      </c>
      <c r="K25" s="34" t="inlineStr">
        <is>
          <t>Sí</t>
        </is>
      </c>
      <c r="L25" s="23">
        <f>IF(AND(K25="Sí",ISNUMBER(E25)),E25,"")</f>
        <v/>
      </c>
    </row>
    <row r="26" ht="75" customHeight="1">
      <c r="A26" s="12" t="inlineStr">
        <is>
          <t>D3</t>
        </is>
      </c>
      <c r="B26" s="12" t="inlineStr">
        <is>
          <t>3.4</t>
        </is>
      </c>
      <c r="C26" s="12" t="inlineStr">
        <is>
          <t>El titular puede revocar su consentimiento con la misma facilidad con que lo otorgó. Verificar: prueba del proceso de revocación (cuántos pasos y en qué canal).</t>
        </is>
      </c>
      <c r="D26" s="12" t="inlineStr">
        <is>
          <t>• 5.34 · Privacidad y protección de datos personales</t>
        </is>
      </c>
      <c r="E26" s="33">
        <f>IFERROR(AVERAGE('Controles marcos'!$E$35),"")</f>
        <v/>
      </c>
      <c r="F26" s="9" t="n"/>
      <c r="G26" s="9" t="n"/>
      <c r="H26" s="9" t="n"/>
      <c r="I26" s="9" t="n"/>
      <c r="J26" s="12" t="inlineStr">
        <is>
          <t>Obligatorio Ley 21.719</t>
        </is>
      </c>
      <c r="K26" s="34" t="inlineStr">
        <is>
          <t>Sí</t>
        </is>
      </c>
      <c r="L26" s="23">
        <f>IF(AND(K26="Sí",ISNUMBER(E26)),E26,"")</f>
        <v/>
      </c>
    </row>
    <row r="27" ht="75" customHeight="1">
      <c r="A27" s="12" t="inlineStr">
        <is>
          <t>D3</t>
        </is>
      </c>
      <c r="B27" s="12" t="inlineStr">
        <is>
          <t>3.5</t>
        </is>
      </c>
      <c r="C27" s="12" t="inlineStr">
        <is>
          <t>Cuando la base legal es interés legítimo, existe una evaluación escrita que pondera ese interés frente a los derechos del titular. Verificar: documento de ponderación por tratamiento.</t>
        </is>
      </c>
      <c r="D27" s="12" t="inlineStr">
        <is>
          <t>• 5.34 · Privacidad y protección de datos personales</t>
        </is>
      </c>
      <c r="E27" s="33">
        <f>IFERROR(AVERAGE('Controles marcos'!$E$35),"")</f>
        <v/>
      </c>
      <c r="F27" s="9" t="n"/>
      <c r="G27" s="9" t="n"/>
      <c r="H27" s="9" t="n"/>
      <c r="I27" s="9" t="n"/>
      <c r="J27" s="12" t="inlineStr">
        <is>
          <t>Obligatorio Ley 21.719</t>
        </is>
      </c>
      <c r="K27" s="34" t="inlineStr">
        <is>
          <t>Sí</t>
        </is>
      </c>
      <c r="L27" s="23">
        <f>IF(AND(K27="Sí",ISNUMBER(E27)),E27,"")</f>
        <v/>
      </c>
    </row>
    <row r="28" ht="75" customHeight="1">
      <c r="A28" s="12" t="inlineStr">
        <is>
          <t>D3</t>
        </is>
      </c>
      <c r="B28" s="12" t="inlineStr">
        <is>
          <t>3.6</t>
        </is>
      </c>
      <c r="C28" s="12" t="inlineStr">
        <is>
          <t>Al recolectar datos se entrega al titular el aviso de privacidad completo (quién trata, para qué, base legal, derechos y plazos). Verificar: aviso publicado y se muestra en cada punto de captura.</t>
        </is>
      </c>
      <c r="D28" s="12" t="inlineStr">
        <is>
          <t>• 5.34 · Privacidad y protección de datos personales</t>
        </is>
      </c>
      <c r="E28" s="33">
        <f>IFERROR(AVERAGE('Controles marcos'!$E$35),"")</f>
        <v/>
      </c>
      <c r="F28" s="9" t="n"/>
      <c r="G28" s="9" t="n"/>
      <c r="H28" s="9" t="n"/>
      <c r="I28" s="9" t="n"/>
      <c r="J28" s="12" t="inlineStr">
        <is>
          <t>Obligatorio Ley 21.719</t>
        </is>
      </c>
      <c r="K28" s="34" t="inlineStr">
        <is>
          <t>Sí</t>
        </is>
      </c>
      <c r="L28" s="23">
        <f>IF(AND(K28="Sí",ISNUMBER(E28)),E28,"")</f>
        <v/>
      </c>
    </row>
    <row r="29" ht="75" customHeight="1">
      <c r="A29" s="12" t="inlineStr">
        <is>
          <t>D3</t>
        </is>
      </c>
      <c r="B29" s="12" t="inlineStr">
        <is>
          <t>3.7</t>
        </is>
      </c>
      <c r="C29" s="12" t="inlineStr">
        <is>
          <t>Gestión de cookies con plataforma de consentimiento, con registro de versiones y posibilidad de revocar.</t>
        </is>
      </c>
      <c r="D29" s="12" t="inlineStr">
        <is>
          <t>• 5.34 · Privacidad y protección de datos personales
• 8.23 · Filtrado web</t>
        </is>
      </c>
      <c r="E29" s="33">
        <f>IFERROR(AVERAGE('Controles marcos'!$E$35,'Controles marcos'!$E$83),"")</f>
        <v/>
      </c>
      <c r="F29" s="9" t="n"/>
      <c r="G29" s="9" t="n"/>
      <c r="H29" s="9" t="n"/>
      <c r="I29" s="9" t="n"/>
      <c r="J29" s="12" t="inlineStr">
        <is>
          <t>Extra (marco o buena práctica)</t>
        </is>
      </c>
      <c r="K29" s="34" t="inlineStr">
        <is>
          <t>No</t>
        </is>
      </c>
      <c r="L29" s="23">
        <f>IF(AND(K29="Sí",ISNUMBER(E29)),E29,"")</f>
        <v/>
      </c>
    </row>
    <row r="30" ht="75" customHeight="1">
      <c r="A30" s="12" t="inlineStr">
        <is>
          <t>D4</t>
        </is>
      </c>
      <c r="B30" s="12" t="inlineStr">
        <is>
          <t>4.1</t>
        </is>
      </c>
      <c r="C30" s="12" t="inlineStr">
        <is>
          <t>Existe un procedimiento formal para atender solicitudes de derechos (acceso, rectificación, supresión, oposición y portabilidad) y un canal publicado para presentarlas. Verificar: procedimiento y canal visible para el titular.</t>
        </is>
      </c>
      <c r="D30" s="12" t="inlineStr">
        <is>
          <t>• Indicador automático: solicitudes ARCOP atendidas en plazo (hoja ARCOP)
• 5.34 · Privacidad y protección de datos personales</t>
        </is>
      </c>
      <c r="E30" s="33">
        <f>IFERROR(AVERAGE(Resumen!$C$5,'Controles marcos'!$E$35),"")</f>
        <v/>
      </c>
      <c r="F30" s="9" t="n"/>
      <c r="G30" s="9" t="n"/>
      <c r="H30" s="9" t="n"/>
      <c r="I30" s="9" t="n"/>
      <c r="J30" s="12" t="inlineStr">
        <is>
          <t>Obligatorio Ley 21.719</t>
        </is>
      </c>
      <c r="K30" s="34" t="inlineStr">
        <is>
          <t>Sí</t>
        </is>
      </c>
      <c r="L30" s="23">
        <f>IF(AND(K30="Sí",ISNUMBER(E30)),E30,"")</f>
        <v/>
      </c>
    </row>
    <row r="31" ht="75" customHeight="1">
      <c r="A31" s="12" t="inlineStr">
        <is>
          <t>D4</t>
        </is>
      </c>
      <c r="B31" s="12" t="inlineStr">
        <is>
          <t>4.2</t>
        </is>
      </c>
      <c r="C31" s="12" t="inlineStr">
        <is>
          <t>Los plazos de respuesta a las solicitudes están definidos y se monitorean. Verificar: plazo aplicado (según el texto oficial) y reporte de solicitudes fuera de plazo.</t>
        </is>
      </c>
      <c r="D31" s="12" t="inlineStr">
        <is>
          <t>• Indicador automático: solicitudes ARCOP atendidas en plazo (hoja ARCOP)</t>
        </is>
      </c>
      <c r="E31" s="33">
        <f>IFERROR(AVERAGE(Resumen!$C$5),"")</f>
        <v/>
      </c>
      <c r="F31" s="9" t="n"/>
      <c r="G31" s="9" t="n"/>
      <c r="H31" s="9" t="n"/>
      <c r="I31" s="9" t="n"/>
      <c r="J31" s="12" t="inlineStr">
        <is>
          <t>Obligatorio Ley 21.719</t>
        </is>
      </c>
      <c r="K31" s="34" t="inlineStr">
        <is>
          <t>Sí</t>
        </is>
      </c>
      <c r="L31" s="23">
        <f>IF(AND(K31="Sí",ISNUMBER(E31)),E31,"")</f>
        <v/>
      </c>
    </row>
    <row r="32" ht="75" customHeight="1">
      <c r="A32" s="12" t="inlineStr">
        <is>
          <t>D4</t>
        </is>
      </c>
      <c r="B32" s="12" t="inlineStr">
        <is>
          <t>4.3</t>
        </is>
      </c>
      <c r="C32" s="12" t="inlineStr">
        <is>
          <t>Antes de entregar o modificar datos, se verifica la identidad del solicitante. Verificar: método de verificación usado.</t>
        </is>
      </c>
      <c r="D32" s="12" t="inlineStr">
        <is>
          <t>• 5.34 · Privacidad y protección de datos personales
• 5.18 · Derechos de acceso</t>
        </is>
      </c>
      <c r="E32" s="33">
        <f>IFERROR(AVERAGE('Controles marcos'!$E$35,'Controles marcos'!$E$19),"")</f>
        <v/>
      </c>
      <c r="F32" s="9" t="n"/>
      <c r="G32" s="9" t="n"/>
      <c r="H32" s="9" t="n"/>
      <c r="I32" s="9" t="n"/>
      <c r="J32" s="12" t="inlineStr">
        <is>
          <t>Obligatorio Ley 21.719</t>
        </is>
      </c>
      <c r="K32" s="34" t="inlineStr">
        <is>
          <t>Sí</t>
        </is>
      </c>
      <c r="L32" s="23">
        <f>IF(AND(K32="Sí",ISNUMBER(E32)),E32,"")</f>
        <v/>
      </c>
    </row>
    <row r="33" ht="75" customHeight="1">
      <c r="A33" s="12" t="inlineStr">
        <is>
          <t>D4</t>
        </is>
      </c>
      <c r="B33" s="12" t="inlineStr">
        <is>
          <t>4.4</t>
        </is>
      </c>
      <c r="C33" s="12" t="inlineStr">
        <is>
          <t>La organización puede ubicar, rectificar, suprimir, exportar y restringir los datos de una persona en todos sus sistemas. Verificar: prueba práctica con un caso real o de prueba.</t>
        </is>
      </c>
      <c r="D33" s="12" t="inlineStr">
        <is>
          <t>• 5.33 · Protección de registros
• 8.10 · Eliminación de información</t>
        </is>
      </c>
      <c r="E33" s="33">
        <f>IFERROR(AVERAGE('Controles marcos'!$E$34,'Controles marcos'!$E$70),"")</f>
        <v/>
      </c>
      <c r="F33" s="9" t="n"/>
      <c r="G33" s="9" t="n"/>
      <c r="H33" s="9" t="n"/>
      <c r="I33" s="9" t="n"/>
      <c r="J33" s="12" t="inlineStr">
        <is>
          <t>Obligatorio Ley 21.719</t>
        </is>
      </c>
      <c r="K33" s="34" t="inlineStr">
        <is>
          <t>Sí</t>
        </is>
      </c>
      <c r="L33" s="23">
        <f>IF(AND(K33="Sí",ISNUMBER(E33)),E33,"")</f>
        <v/>
      </c>
    </row>
    <row r="34" ht="75" customHeight="1">
      <c r="A34" s="12" t="inlineStr">
        <is>
          <t>D4</t>
        </is>
      </c>
      <c r="B34" s="12" t="inlineStr">
        <is>
          <t>4.5</t>
        </is>
      </c>
      <c r="C34" s="12" t="inlineStr">
        <is>
          <t>Cada solicitud, su respuesta y el motivo de cualquier rechazo quedan registrados. Verificar: hoja ARCOP completa.</t>
        </is>
      </c>
      <c r="D34" s="12" t="inlineStr">
        <is>
          <t>• 5.33 · Protección de registros</t>
        </is>
      </c>
      <c r="E34" s="33">
        <f>IFERROR(AVERAGE('Controles marcos'!$E$34),"")</f>
        <v/>
      </c>
      <c r="F34" s="9" t="n"/>
      <c r="G34" s="9" t="n"/>
      <c r="H34" s="9" t="n"/>
      <c r="I34" s="9" t="n"/>
      <c r="J34" s="12" t="inlineStr">
        <is>
          <t>Obligatorio Ley 21.719</t>
        </is>
      </c>
      <c r="K34" s="34" t="inlineStr">
        <is>
          <t>Sí</t>
        </is>
      </c>
      <c r="L34" s="23">
        <f>IF(AND(K34="Sí",ISNUMBER(E34)),E34,"")</f>
        <v/>
      </c>
    </row>
    <row r="35" ht="75" customHeight="1">
      <c r="A35" s="12" t="inlineStr">
        <is>
          <t>D4</t>
        </is>
      </c>
      <c r="B35" s="12" t="inlineStr">
        <is>
          <t>4.6</t>
        </is>
      </c>
      <c r="C35" s="12" t="inlineStr">
        <is>
          <t>Si hay decisiones automatizadas que afectan al titular, se le informa y puede pedir revisión humana. Verificar: si existen decisiones automatizadas (por ejemplo, scoring de crédito o aprobación de clientes) y cómo se informan.</t>
        </is>
      </c>
      <c r="D35" s="12" t="inlineStr">
        <is>
          <t>• 5.34 · Privacidad y protección de datos personales</t>
        </is>
      </c>
      <c r="E35" s="33">
        <f>IFERROR(AVERAGE('Controles marcos'!$E$35),"")</f>
        <v/>
      </c>
      <c r="F35" s="9" t="n"/>
      <c r="G35" s="9" t="n"/>
      <c r="H35" s="9" t="n"/>
      <c r="I35" s="9" t="n"/>
      <c r="J35" s="12" t="inlineStr">
        <is>
          <t>Obligatorio Ley 21.719</t>
        </is>
      </c>
      <c r="K35" s="34" t="inlineStr">
        <is>
          <t>Sí</t>
        </is>
      </c>
      <c r="L35" s="23">
        <f>IF(AND(K35="Sí",ISNUMBER(E35)),E35,"")</f>
        <v/>
      </c>
    </row>
    <row r="36" ht="75" customHeight="1">
      <c r="A36" s="12" t="inlineStr">
        <is>
          <t>D4</t>
        </is>
      </c>
      <c r="B36" s="12" t="inlineStr">
        <is>
          <t>4.7</t>
        </is>
      </c>
      <c r="C36" s="12" t="inlineStr">
        <is>
          <t>Procedimiento para solicitudes ARCOP que llegan por canales informales (WhatsApp, redes sociales, call center), con registro y plazo.</t>
        </is>
      </c>
      <c r="D36" s="12" t="inlineStr">
        <is>
          <t>• Indicador automático: solicitudes ARCOP atendidas en plazo (hoja ARCOP)
• 5.34 · Privacidad y protección de datos personales</t>
        </is>
      </c>
      <c r="E36" s="33">
        <f>IFERROR(AVERAGE(Resumen!$C$5,'Controles marcos'!$E$35),"")</f>
        <v/>
      </c>
      <c r="F36" s="9" t="n"/>
      <c r="G36" s="9" t="n"/>
      <c r="H36" s="9" t="n"/>
      <c r="I36" s="9" t="n"/>
      <c r="J36" s="12" t="inlineStr">
        <is>
          <t>Extra (marco o buena práctica)</t>
        </is>
      </c>
      <c r="K36" s="34" t="inlineStr">
        <is>
          <t>No</t>
        </is>
      </c>
      <c r="L36" s="23">
        <f>IF(AND(K36="Sí",ISNUMBER(E36)),E36,"")</f>
        <v/>
      </c>
    </row>
    <row r="37" ht="75" customHeight="1">
      <c r="A37" s="12" t="inlineStr">
        <is>
          <t>D4</t>
        </is>
      </c>
      <c r="B37" s="12" t="inlineStr">
        <is>
          <t>4.8</t>
        </is>
      </c>
      <c r="C37" s="12" t="inlineStr">
        <is>
          <t>La organización puede localizar los datos de un titular en todos sus sistemas y proveedores dentro de un plazo razonable. Verificar: prueba con un caso real o de prueba que muestre los sistemas consultados y el tiempo empleado.</t>
        </is>
      </c>
      <c r="D37" s="12" t="inlineStr">
        <is>
          <t>• 5.33 · Protección de registros
• 8.15 · Registro de actividades (logging)</t>
        </is>
      </c>
      <c r="E37" s="33">
        <f>IFERROR(AVERAGE('Controles marcos'!$E$34,'Controles marcos'!$E$75),"")</f>
        <v/>
      </c>
      <c r="F37" s="9" t="n"/>
      <c r="G37" s="9" t="n"/>
      <c r="H37" s="9" t="n"/>
      <c r="I37" s="9" t="n"/>
      <c r="J37" s="12" t="inlineStr">
        <is>
          <t>Obligatorio Ley 21.719</t>
        </is>
      </c>
      <c r="K37" s="34" t="inlineStr">
        <is>
          <t>Sí</t>
        </is>
      </c>
      <c r="L37" s="23">
        <f>IF(AND(K37="Sí",ISNUMBER(E37)),E37,"")</f>
        <v/>
      </c>
    </row>
    <row r="38" ht="75" customHeight="1">
      <c r="A38" s="12" t="inlineStr">
        <is>
          <t>D4</t>
        </is>
      </c>
      <c r="B38" s="12" t="inlineStr">
        <is>
          <t>4.9</t>
        </is>
      </c>
      <c r="C38" s="12" t="inlineStr">
        <is>
          <t>Los datos entregados por portabilidad se exportan en un formato estructurado y de uso común. Verificar: archivo de ejemplo exportado y formato utilizado.</t>
        </is>
      </c>
      <c r="D38" s="12" t="inlineStr">
        <is>
          <t>• 5.34 · Privacidad y protección de datos personales</t>
        </is>
      </c>
      <c r="E38" s="33">
        <f>IFERROR(AVERAGE('Controles marcos'!$E$35),"")</f>
        <v/>
      </c>
      <c r="F38" s="9" t="n"/>
      <c r="G38" s="9" t="n"/>
      <c r="H38" s="9" t="n"/>
      <c r="I38" s="9" t="n"/>
      <c r="J38" s="12" t="inlineStr">
        <is>
          <t>Obligatorio Ley 21.719</t>
        </is>
      </c>
      <c r="K38" s="34" t="inlineStr">
        <is>
          <t>Sí</t>
        </is>
      </c>
      <c r="L38" s="23">
        <f>IF(AND(K38="Sí",ISNUMBER(E38)),E38,"")</f>
        <v/>
      </c>
    </row>
    <row r="39" ht="75" customHeight="1">
      <c r="A39" s="12" t="inlineStr">
        <is>
          <t>D4</t>
        </is>
      </c>
      <c r="B39" s="12" t="inlineStr">
        <is>
          <t>4.10</t>
        </is>
      </c>
      <c r="C39" s="12" t="inlineStr">
        <is>
          <t>Una supresión llega también a los respaldos y a los proveedores, con un procedimiento para hacerlo en plazos definidos. Verificar: procedimiento escrito y último caso ejecutado.</t>
        </is>
      </c>
      <c r="D39" s="12" t="inlineStr">
        <is>
          <t>• 8.13 · Respaldo de información
• 5.20 · Seguridad en contratos con proveedores</t>
        </is>
      </c>
      <c r="E39" s="33">
        <f>IFERROR(AVERAGE('Controles marcos'!$E$73,'Controles marcos'!$E$21),"")</f>
        <v/>
      </c>
      <c r="F39" s="9" t="n"/>
      <c r="G39" s="9" t="n"/>
      <c r="H39" s="9" t="n"/>
      <c r="I39" s="9" t="n"/>
      <c r="J39" s="12" t="inlineStr">
        <is>
          <t>Obligatorio Ley 21.719</t>
        </is>
      </c>
      <c r="K39" s="34" t="inlineStr">
        <is>
          <t>Sí</t>
        </is>
      </c>
      <c r="L39" s="23">
        <f>IF(AND(K39="Sí",ISNUMBER(E39)),E39,"")</f>
        <v/>
      </c>
    </row>
    <row r="40" ht="75" customHeight="1">
      <c r="A40" s="12" t="inlineStr">
        <is>
          <t>D5</t>
        </is>
      </c>
      <c r="B40" s="12" t="inlineStr">
        <is>
          <t>5.1</t>
        </is>
      </c>
      <c r="C40" s="12" t="inlineStr">
        <is>
          <t>Los datos se usan solo para las finalidades declaradas al titular, sin usos incompatibles posteriores. Verificar: finalidades del aviso frente a usos reales en los sistemas.</t>
        </is>
      </c>
      <c r="D40" s="12" t="inlineStr">
        <is>
          <t>• 5.34 · Privacidad y protección de datos personales</t>
        </is>
      </c>
      <c r="E40" s="33">
        <f>IFERROR(AVERAGE('Controles marcos'!$E$35),"")</f>
        <v/>
      </c>
      <c r="F40" s="9" t="n"/>
      <c r="G40" s="9" t="n"/>
      <c r="H40" s="9" t="n"/>
      <c r="I40" s="9" t="n"/>
      <c r="J40" s="12" t="inlineStr">
        <is>
          <t>Obligatorio Ley 21.719</t>
        </is>
      </c>
      <c r="K40" s="34" t="inlineStr">
        <is>
          <t>Sí</t>
        </is>
      </c>
      <c r="L40" s="23">
        <f>IF(AND(K40="Sí",ISNUMBER(E40)),E40,"")</f>
        <v/>
      </c>
    </row>
    <row r="41" ht="75" customHeight="1">
      <c r="A41" s="12" t="inlineStr">
        <is>
          <t>D5</t>
        </is>
      </c>
      <c r="B41" s="12" t="inlineStr">
        <is>
          <t>5.2</t>
        </is>
      </c>
      <c r="C41" s="12" t="inlineStr">
        <is>
          <t>Solo se recolectan y mantienen los datos estrictamente necesarios para la finalidad. Verificar: formularios con campos justificados y revisión de campos innecesarios.</t>
        </is>
      </c>
      <c r="D41" s="12" t="inlineStr">
        <is>
          <t>• 5.34 · Privacidad y protección de datos personales
• 8.11 · Enmascaramiento de datos</t>
        </is>
      </c>
      <c r="E41" s="33">
        <f>IFERROR(AVERAGE('Controles marcos'!$E$35,'Controles marcos'!$E$71),"")</f>
        <v/>
      </c>
      <c r="F41" s="9" t="n"/>
      <c r="G41" s="9" t="n"/>
      <c r="H41" s="9" t="n"/>
      <c r="I41" s="9" t="n"/>
      <c r="J41" s="12" t="inlineStr">
        <is>
          <t>Obligatorio Ley 21.719</t>
        </is>
      </c>
      <c r="K41" s="34" t="inlineStr">
        <is>
          <t>Sí</t>
        </is>
      </c>
      <c r="L41" s="23">
        <f>IF(AND(K41="Sí",ISNUMBER(E41)),E41,"")</f>
        <v/>
      </c>
    </row>
    <row r="42" ht="75" customHeight="1">
      <c r="A42" s="12" t="inlineStr">
        <is>
          <t>D5</t>
        </is>
      </c>
      <c r="B42" s="12" t="inlineStr">
        <is>
          <t>5.3</t>
        </is>
      </c>
      <c r="C42" s="12" t="inlineStr">
        <is>
          <t>Existen mecanismos para mantener los datos exactos y actualizados. Verificar: cómo se corrigen datos y con qué frecuencia se revisan.</t>
        </is>
      </c>
      <c r="D42" s="12" t="inlineStr">
        <is>
          <t>• 5.34 · Privacidad y protección de datos personales</t>
        </is>
      </c>
      <c r="E42" s="33">
        <f>IFERROR(AVERAGE('Controles marcos'!$E$35),"")</f>
        <v/>
      </c>
      <c r="F42" s="9" t="n"/>
      <c r="G42" s="9" t="n"/>
      <c r="H42" s="9" t="n"/>
      <c r="I42" s="9" t="n"/>
      <c r="J42" s="12" t="inlineStr">
        <is>
          <t>Obligatorio Ley 21.719</t>
        </is>
      </c>
      <c r="K42" s="34" t="inlineStr">
        <is>
          <t>Sí</t>
        </is>
      </c>
      <c r="L42" s="23">
        <f>IF(AND(K42="Sí",ISNUMBER(E42)),E42,"")</f>
        <v/>
      </c>
    </row>
    <row r="43" ht="75" customHeight="1">
      <c r="A43" s="12" t="inlineStr">
        <is>
          <t>D5</t>
        </is>
      </c>
      <c r="B43" s="12" t="inlineStr">
        <is>
          <t>5.4</t>
        </is>
      </c>
      <c r="C43" s="12" t="inlineStr">
        <is>
          <t>Existe una política de retención con plazos concretos para cada categoría de dato. Verificar: tabla de retención con plazos y base legal.</t>
        </is>
      </c>
      <c r="D43" s="12" t="inlineStr">
        <is>
          <t>• 5.33 · Protección de registros</t>
        </is>
      </c>
      <c r="E43" s="33">
        <f>IFERROR(AVERAGE('Controles marcos'!$E$34),"")</f>
        <v/>
      </c>
      <c r="F43" s="9" t="n"/>
      <c r="G43" s="9" t="n"/>
      <c r="H43" s="9" t="n"/>
      <c r="I43" s="9" t="n"/>
      <c r="J43" s="12" t="inlineStr">
        <is>
          <t>Obligatorio Ley 21.719</t>
        </is>
      </c>
      <c r="K43" s="34" t="inlineStr">
        <is>
          <t>Sí</t>
        </is>
      </c>
      <c r="L43" s="23">
        <f>IF(AND(K43="Sí",ISNUMBER(E43)),E43,"")</f>
        <v/>
      </c>
    </row>
    <row r="44" ht="75" customHeight="1">
      <c r="A44" s="12" t="inlineStr">
        <is>
          <t>D5</t>
        </is>
      </c>
      <c r="B44" s="12" t="inlineStr">
        <is>
          <t>5.5</t>
        </is>
      </c>
      <c r="C44" s="12" t="inlineStr">
        <is>
          <t>Al cumplirse el plazo, los datos se eliminan o anonimizan de forma segura, y queda evidencia. Verificar: registro de una eliminación reciente.</t>
        </is>
      </c>
      <c r="D44" s="12" t="inlineStr">
        <is>
          <t>• 8.10 · Eliminación de información</t>
        </is>
      </c>
      <c r="E44" s="33">
        <f>IFERROR(AVERAGE('Controles marcos'!$E$70),"")</f>
        <v/>
      </c>
      <c r="F44" s="9" t="n"/>
      <c r="G44" s="9" t="n"/>
      <c r="H44" s="9" t="n"/>
      <c r="I44" s="9" t="n"/>
      <c r="J44" s="12" t="inlineStr">
        <is>
          <t>Obligatorio Ley 21.719</t>
        </is>
      </c>
      <c r="K44" s="34" t="inlineStr">
        <is>
          <t>Sí</t>
        </is>
      </c>
      <c r="L44" s="23">
        <f>IF(AND(K44="Sí",ISNUMBER(E44)),E44,"")</f>
        <v/>
      </c>
    </row>
    <row r="45" ht="75" customHeight="1">
      <c r="A45" s="12" t="inlineStr">
        <is>
          <t>D5</t>
        </is>
      </c>
      <c r="B45" s="12" t="inlineStr">
        <is>
          <t>5.6</t>
        </is>
      </c>
      <c r="C45" s="12" t="inlineStr">
        <is>
          <t>Los datos obtenidos de terceros o de fuentes públicas se validan en cuanto a su origen y licitud antes de usarlos. Verificar: origen documentado de cada base comprada o recibida.</t>
        </is>
      </c>
      <c r="D45" s="12" t="inlineStr">
        <is>
          <t>• 5.19 · Seguridad en relaciones con proveedores
• 5.14 · Transferencia de información</t>
        </is>
      </c>
      <c r="E45" s="33">
        <f>IFERROR(AVERAGE('Controles marcos'!$E$20,'Controles marcos'!$E$15),"")</f>
        <v/>
      </c>
      <c r="F45" s="9" t="n"/>
      <c r="G45" s="9" t="n"/>
      <c r="H45" s="9" t="n"/>
      <c r="I45" s="9" t="n"/>
      <c r="J45" s="12" t="inlineStr">
        <is>
          <t>Obligatorio Ley 21.719</t>
        </is>
      </c>
      <c r="K45" s="34" t="inlineStr">
        <is>
          <t>Sí</t>
        </is>
      </c>
      <c r="L45" s="23">
        <f>IF(AND(K45="Sí",ISNUMBER(E45)),E45,"")</f>
        <v/>
      </c>
    </row>
    <row r="46" ht="75" customHeight="1">
      <c r="A46" s="12" t="inlineStr">
        <is>
          <t>D5</t>
        </is>
      </c>
      <c r="B46" s="12" t="inlineStr">
        <is>
          <t>5.7</t>
        </is>
      </c>
      <c r="C46" s="12" t="inlineStr">
        <is>
          <t>Minimización en formularios web y POS: solo campos obligatorios justificados por la finalidad.</t>
        </is>
      </c>
      <c r="D46" s="12" t="inlineStr">
        <is>
          <t>• 5.34 · Privacidad y protección de datos personales
• 8.11 · Enmascaramiento de datos</t>
        </is>
      </c>
      <c r="E46" s="33">
        <f>IFERROR(AVERAGE('Controles marcos'!$E$35,'Controles marcos'!$E$71),"")</f>
        <v/>
      </c>
      <c r="F46" s="9" t="n"/>
      <c r="G46" s="9" t="n"/>
      <c r="H46" s="9" t="n"/>
      <c r="I46" s="9" t="n"/>
      <c r="J46" s="12" t="inlineStr">
        <is>
          <t>Extra (marco o buena práctica)</t>
        </is>
      </c>
      <c r="K46" s="34" t="inlineStr">
        <is>
          <t>No</t>
        </is>
      </c>
      <c r="L46" s="23">
        <f>IF(AND(K46="Sí",ISNUMBER(E46)),E46,"")</f>
        <v/>
      </c>
    </row>
    <row r="47" ht="75" customHeight="1">
      <c r="A47" s="12" t="inlineStr">
        <is>
          <t>D5</t>
        </is>
      </c>
      <c r="B47" s="12" t="inlineStr">
        <is>
          <t>5.8</t>
        </is>
      </c>
      <c r="C47" s="12" t="inlineStr">
        <is>
          <t>Eliminación automática de datos según la tabla de retención.</t>
        </is>
      </c>
      <c r="D47" s="12" t="inlineStr">
        <is>
          <t>• 5.33 · Protección de registros
• 8.10 · Eliminación de información</t>
        </is>
      </c>
      <c r="E47" s="33">
        <f>IFERROR(AVERAGE('Controles marcos'!$E$34,'Controles marcos'!$E$70),"")</f>
        <v/>
      </c>
      <c r="F47" s="9" t="n"/>
      <c r="G47" s="9" t="n"/>
      <c r="H47" s="9" t="n"/>
      <c r="I47" s="9" t="n"/>
      <c r="J47" s="12" t="inlineStr">
        <is>
          <t>Extra (marco o buena práctica)</t>
        </is>
      </c>
      <c r="K47" s="34" t="inlineStr">
        <is>
          <t>No</t>
        </is>
      </c>
      <c r="L47" s="23">
        <f>IF(AND(K47="Sí",ISNUMBER(E47)),E47,"")</f>
        <v/>
      </c>
    </row>
    <row r="48" ht="75" customHeight="1">
      <c r="A48" s="12" t="inlineStr">
        <is>
          <t>D5</t>
        </is>
      </c>
      <c r="B48" s="12" t="inlineStr">
        <is>
          <t>5.9</t>
        </is>
      </c>
      <c r="C48" s="12" t="inlineStr">
        <is>
          <t>Existe una tabla de retención por categoría de dato y las eliminaciones se ejecutan y quedan registradas. Verificar: último registro de eliminación, con fecha y responsable.</t>
        </is>
      </c>
      <c r="D48" s="12" t="inlineStr">
        <is>
          <t>• 5.33 · Protección de registros
• 8.10 · Eliminación de información</t>
        </is>
      </c>
      <c r="E48" s="33">
        <f>IFERROR(AVERAGE('Controles marcos'!$E$34,'Controles marcos'!$E$70),"")</f>
        <v/>
      </c>
      <c r="F48" s="9" t="n"/>
      <c r="G48" s="9" t="n"/>
      <c r="H48" s="9" t="n"/>
      <c r="I48" s="9" t="n"/>
      <c r="J48" s="12" t="inlineStr">
        <is>
          <t>Obligatorio Ley 21.719</t>
        </is>
      </c>
      <c r="K48" s="34" t="inlineStr">
        <is>
          <t>Sí</t>
        </is>
      </c>
      <c r="L48" s="23">
        <f>IF(AND(K48="Sí",ISNUMBER(E48)),E48,"")</f>
        <v/>
      </c>
    </row>
    <row r="49" ht="75" customHeight="1">
      <c r="A49" s="12" t="inlineStr">
        <is>
          <t>D5</t>
        </is>
      </c>
      <c r="B49" s="12" t="inlineStr">
        <is>
          <t>5.10</t>
        </is>
      </c>
      <c r="C49" s="12" t="inlineStr">
        <is>
          <t>Cada eliminación deja evidencia: qué se eliminó, cuándo, por quién y cómo se verificó. Verificar: muestra de tres registros de eliminación.</t>
        </is>
      </c>
      <c r="D49" s="12" t="inlineStr">
        <is>
          <t>• 8.10 · Eliminación de información</t>
        </is>
      </c>
      <c r="E49" s="33">
        <f>IFERROR(AVERAGE('Controles marcos'!$E$70),"")</f>
        <v/>
      </c>
      <c r="F49" s="9" t="n"/>
      <c r="G49" s="9" t="n"/>
      <c r="H49" s="9" t="n"/>
      <c r="I49" s="9" t="n"/>
      <c r="J49" s="12" t="inlineStr">
        <is>
          <t>Obligatorio Ley 21.719</t>
        </is>
      </c>
      <c r="K49" s="34" t="inlineStr">
        <is>
          <t>Sí</t>
        </is>
      </c>
      <c r="L49" s="23">
        <f>IF(AND(K49="Sí",ISNUMBER(E49)),E49,"")</f>
        <v/>
      </c>
    </row>
    <row r="50" ht="75" customHeight="1">
      <c r="A50" s="12" t="inlineStr">
        <is>
          <t>D6</t>
        </is>
      </c>
      <c r="B50" s="12" t="inlineStr">
        <is>
          <t>6.1</t>
        </is>
      </c>
      <c r="C50" s="12" t="inlineStr">
        <is>
          <t>Los datos sensibles (salud, biométricos, origen, creencias, antecedentes penales) y los de menores están identificados en el inventario. Verificar: lista de datos sensibles por sistema.</t>
        </is>
      </c>
      <c r="D50" s="12" t="inlineStr">
        <is>
          <t>• 5.12 · Clasificación de la información
• 5.9 · Inventario de información y activos</t>
        </is>
      </c>
      <c r="E50" s="33">
        <f>IFERROR(AVERAGE('Controles marcos'!$E$13,'Controles marcos'!$E$10),"")</f>
        <v/>
      </c>
      <c r="F50" s="9" t="n"/>
      <c r="G50" s="9" t="n"/>
      <c r="H50" s="9" t="n"/>
      <c r="I50" s="9" t="n"/>
      <c r="J50" s="12" t="inlineStr">
        <is>
          <t>Obligatorio Ley 21.719</t>
        </is>
      </c>
      <c r="K50" s="34" t="inlineStr">
        <is>
          <t>Sí</t>
        </is>
      </c>
      <c r="L50" s="23">
        <f>IF(AND(K50="Sí",ISNUMBER(E50)),E50,"")</f>
        <v/>
      </c>
    </row>
    <row r="51" ht="75" customHeight="1">
      <c r="A51" s="12" t="inlineStr">
        <is>
          <t>D6</t>
        </is>
      </c>
      <c r="B51" s="12" t="inlineStr">
        <is>
          <t>6.2</t>
        </is>
      </c>
      <c r="C51" s="12" t="inlineStr">
        <is>
          <t>Para tratar datos sensibles se obtiene consentimiento explícito del titular. Verificar: formulario de consentimiento específico para datos sensibles.</t>
        </is>
      </c>
      <c r="D51" s="12" t="inlineStr">
        <is>
          <t>• 5.34 · Privacidad y protección de datos personales</t>
        </is>
      </c>
      <c r="E51" s="33">
        <f>IFERROR(AVERAGE('Controles marcos'!$E$35),"")</f>
        <v/>
      </c>
      <c r="F51" s="9" t="n"/>
      <c r="G51" s="9" t="n"/>
      <c r="H51" s="9" t="n"/>
      <c r="I51" s="9" t="n"/>
      <c r="J51" s="12" t="inlineStr">
        <is>
          <t>Obligatorio Ley 21.719</t>
        </is>
      </c>
      <c r="K51" s="34" t="inlineStr">
        <is>
          <t>Sí</t>
        </is>
      </c>
      <c r="L51" s="23">
        <f>IF(AND(K51="Sí",ISNUMBER(E51)),E51,"")</f>
        <v/>
      </c>
    </row>
    <row r="52" ht="75" customHeight="1">
      <c r="A52" s="12" t="inlineStr">
        <is>
          <t>D6</t>
        </is>
      </c>
      <c r="B52" s="12" t="inlineStr">
        <is>
          <t>6.3</t>
        </is>
      </c>
      <c r="C52" s="12" t="inlineStr">
        <is>
          <t>Los datos sensibles tienen controles reforzados: acceso restringido, cifrado y registro de accesos. Verificar: matriz de acceso y logs de esos datos.</t>
        </is>
      </c>
      <c r="D52" s="12" t="inlineStr">
        <is>
          <t>• 8.11 · Enmascaramiento de datos
• 8.24 · Uso de criptografía</t>
        </is>
      </c>
      <c r="E52" s="33">
        <f>IFERROR(AVERAGE('Controles marcos'!$E$71,'Controles marcos'!$E$84),"")</f>
        <v/>
      </c>
      <c r="F52" s="9" t="n"/>
      <c r="G52" s="9" t="n"/>
      <c r="H52" s="9" t="n"/>
      <c r="I52" s="9" t="n"/>
      <c r="J52" s="12" t="inlineStr">
        <is>
          <t>Obligatorio Ley 21.719</t>
        </is>
      </c>
      <c r="K52" s="34" t="inlineStr">
        <is>
          <t>Sí</t>
        </is>
      </c>
      <c r="L52" s="23">
        <f>IF(AND(K52="Sí",ISNUMBER(E52)),E52,"")</f>
        <v/>
      </c>
    </row>
    <row r="53" ht="75" customHeight="1">
      <c r="A53" s="12" t="inlineStr">
        <is>
          <t>D6</t>
        </is>
      </c>
      <c r="B53" s="12" t="inlineStr">
        <is>
          <t>6.4</t>
        </is>
      </c>
      <c r="C53" s="12" t="inlineStr">
        <is>
          <t>Si se tratan datos de niños, niñas o adolescentes, se aplica el interés superior del menor y se obtiene el consentimiento de su representante cuando corresponde. Verificar: si hay tratamientos con menores y cómo se controlan.</t>
        </is>
      </c>
      <c r="D53" s="12" t="inlineStr">
        <is>
          <t>• 5.34 · Privacidad y protección de datos personales</t>
        </is>
      </c>
      <c r="E53" s="33">
        <f>IFERROR(AVERAGE('Controles marcos'!$E$35),"")</f>
        <v/>
      </c>
      <c r="F53" s="9" t="n"/>
      <c r="G53" s="9" t="n"/>
      <c r="H53" s="9" t="n"/>
      <c r="I53" s="9" t="n"/>
      <c r="J53" s="12" t="inlineStr">
        <is>
          <t>Obligatorio Ley 21.719</t>
        </is>
      </c>
      <c r="K53" s="34" t="inlineStr">
        <is>
          <t>Sí</t>
        </is>
      </c>
      <c r="L53" s="23">
        <f>IF(AND(K53="Sí",ISNUMBER(E53)),E53,"")</f>
        <v/>
      </c>
    </row>
    <row r="54" ht="75" customHeight="1">
      <c r="A54" s="12" t="inlineStr">
        <is>
          <t>D6</t>
        </is>
      </c>
      <c r="B54" s="12" t="inlineStr">
        <is>
          <t>6.5</t>
        </is>
      </c>
      <c r="C54" s="12" t="inlineStr">
        <is>
          <t>El tratamiento biométrico y la vigilancia sistemática tienen restricciones y justificación escrita. Verificar: si existe biometría o vigilancia y su justificación.</t>
        </is>
      </c>
      <c r="D54" s="12" t="inlineStr">
        <is>
          <t>• 5.34 · Privacidad y protección de datos personales</t>
        </is>
      </c>
      <c r="E54" s="33">
        <f>IFERROR(AVERAGE('Controles marcos'!$E$35),"")</f>
        <v/>
      </c>
      <c r="F54" s="9" t="n"/>
      <c r="G54" s="9" t="n"/>
      <c r="H54" s="9" t="n"/>
      <c r="I54" s="9" t="n"/>
      <c r="J54" s="12" t="inlineStr">
        <is>
          <t>Obligatorio Ley 21.719</t>
        </is>
      </c>
      <c r="K54" s="34" t="inlineStr">
        <is>
          <t>Sí</t>
        </is>
      </c>
      <c r="L54" s="23">
        <f>IF(AND(K54="Sí",ISNUMBER(E54)),E54,"")</f>
        <v/>
      </c>
    </row>
    <row r="55" ht="75" customHeight="1">
      <c r="A55" s="12" t="inlineStr">
        <is>
          <t>D6</t>
        </is>
      </c>
      <c r="B55" s="12" t="inlineStr">
        <is>
          <t>6.6</t>
        </is>
      </c>
      <c r="C55" s="12" t="inlineStr">
        <is>
          <t>Verificación de edad en ecommerce cuando se venden productos restringidos.</t>
        </is>
      </c>
      <c r="D55" s="12" t="inlineStr">
        <is>
          <t>• 5.34 · Privacidad y protección de datos personales</t>
        </is>
      </c>
      <c r="E55" s="33">
        <f>IFERROR(AVERAGE('Controles marcos'!$E$35),"")</f>
        <v/>
      </c>
      <c r="F55" s="9" t="n"/>
      <c r="G55" s="9" t="n"/>
      <c r="H55" s="9" t="n"/>
      <c r="I55" s="9" t="n"/>
      <c r="J55" s="12" t="inlineStr">
        <is>
          <t>Extra (marco o buena práctica)</t>
        </is>
      </c>
      <c r="K55" s="34" t="inlineStr">
        <is>
          <t>No</t>
        </is>
      </c>
      <c r="L55" s="23">
        <f>IF(AND(K55="Sí",ISNUMBER(E55)),E55,"")</f>
        <v/>
      </c>
    </row>
    <row r="56" ht="75" customHeight="1">
      <c r="A56" s="12" t="inlineStr">
        <is>
          <t>D7</t>
        </is>
      </c>
      <c r="B56" s="12" t="inlineStr">
        <is>
          <t>7.1</t>
        </is>
      </c>
      <c r="C56" s="12" t="inlineStr">
        <is>
          <t>Están definidos criterios de alto riesgo y se comunican a las áreas que proponen nuevos tratamientos. Verificar: criterios escritos y su difusión.</t>
        </is>
      </c>
      <c r="D56" s="12" t="inlineStr">
        <is>
          <t>• 5.34 · Privacidad y protección de datos personales</t>
        </is>
      </c>
      <c r="E56" s="33">
        <f>IFERROR(AVERAGE('Controles marcos'!$E$35),"")</f>
        <v/>
      </c>
      <c r="F56" s="9" t="n"/>
      <c r="G56" s="9" t="n"/>
      <c r="H56" s="9" t="n"/>
      <c r="I56" s="9" t="n"/>
      <c r="J56" s="12" t="inlineStr">
        <is>
          <t>Obligatorio Ley 21.719</t>
        </is>
      </c>
      <c r="K56" s="34" t="inlineStr">
        <is>
          <t>Sí</t>
        </is>
      </c>
      <c r="L56" s="23">
        <f>IF(AND(K56="Sí",ISNUMBER(E56)),E56,"")</f>
        <v/>
      </c>
    </row>
    <row r="57" ht="75" customHeight="1">
      <c r="A57" s="12" t="inlineStr">
        <is>
          <t>D7</t>
        </is>
      </c>
      <c r="B57" s="12" t="inlineStr">
        <is>
          <t>7.2</t>
        </is>
      </c>
      <c r="C57" s="12" t="inlineStr">
        <is>
          <t>Se realiza una evaluación de impacto en protección de datos (EIPD/DPIA) antes de iniciar cada tratamiento de alto riesgo. Verificar: EIPD existentes y su fecha.</t>
        </is>
      </c>
      <c r="D57" s="12" t="inlineStr">
        <is>
          <t>• 5.34 · Privacidad y protección de datos personales
• 5.8 · SI en gestión de proyectos</t>
        </is>
      </c>
      <c r="E57" s="33">
        <f>IFERROR(AVERAGE('Controles marcos'!$E$35,'Controles marcos'!$E$9),"")</f>
        <v/>
      </c>
      <c r="F57" s="9" t="n"/>
      <c r="G57" s="9" t="n"/>
      <c r="H57" s="9" t="n"/>
      <c r="I57" s="9" t="n"/>
      <c r="J57" s="12" t="inlineStr">
        <is>
          <t>Obligatorio Ley 21.719</t>
        </is>
      </c>
      <c r="K57" s="34" t="inlineStr">
        <is>
          <t>Sí</t>
        </is>
      </c>
      <c r="L57" s="23">
        <f>IF(AND(K57="Sí",ISNUMBER(E57)),E57,"")</f>
        <v/>
      </c>
    </row>
    <row r="58" ht="75" customHeight="1">
      <c r="A58" s="12" t="inlineStr">
        <is>
          <t>D7</t>
        </is>
      </c>
      <c r="B58" s="12" t="inlineStr">
        <is>
          <t>7.3</t>
        </is>
      </c>
      <c r="C58" s="12" t="inlineStr">
        <is>
          <t>La privacidad se revisa como parte de la gestión de proyectos y de los cambios a sistemas. Verificar: checklist de privacidad en la metodología de proyectos.</t>
        </is>
      </c>
      <c r="D58" s="12" t="inlineStr">
        <is>
          <t>• 5.8 · SI en gestión de proyectos
• 8.25 · Ciclo de vida de desarrollo seguro
• 8.27 · Principios de arquitectura segura</t>
        </is>
      </c>
      <c r="E58" s="33">
        <f>IFERROR(AVERAGE('Controles marcos'!$E$9,'Controles marcos'!$E$85,'Controles marcos'!$E$87),"")</f>
        <v/>
      </c>
      <c r="F58" s="9" t="n"/>
      <c r="G58" s="9" t="n"/>
      <c r="H58" s="9" t="n"/>
      <c r="I58" s="9" t="n"/>
      <c r="J58" s="12" t="inlineStr">
        <is>
          <t>Obligatorio Ley 21.719</t>
        </is>
      </c>
      <c r="K58" s="34" t="inlineStr">
        <is>
          <t>Sí</t>
        </is>
      </c>
      <c r="L58" s="23">
        <f>IF(AND(K58="Sí",ISNUMBER(E58)),E58,"")</f>
        <v/>
      </c>
    </row>
    <row r="59" ht="75" customHeight="1">
      <c r="A59" s="12" t="inlineStr">
        <is>
          <t>D7</t>
        </is>
      </c>
      <c r="B59" s="12" t="inlineStr">
        <is>
          <t>7.4</t>
        </is>
      </c>
      <c r="C59" s="12" t="inlineStr">
        <is>
          <t>Por defecto, los sistemas y productos tratan el mínimo de datos y dan el mínimo de accesos. Verificar: configuración por defecto en formularios y sistemas.</t>
        </is>
      </c>
      <c r="D59" s="12" t="inlineStr">
        <is>
          <t>• 8.9 · Gestión de la configuración</t>
        </is>
      </c>
      <c r="E59" s="33">
        <f>IFERROR(AVERAGE('Controles marcos'!$E$69),"")</f>
        <v/>
      </c>
      <c r="F59" s="9" t="n"/>
      <c r="G59" s="9" t="n"/>
      <c r="H59" s="9" t="n"/>
      <c r="I59" s="9" t="n"/>
      <c r="J59" s="12" t="inlineStr">
        <is>
          <t>Obligatorio Ley 21.719</t>
        </is>
      </c>
      <c r="K59" s="34" t="inlineStr">
        <is>
          <t>Sí</t>
        </is>
      </c>
      <c r="L59" s="23">
        <f>IF(AND(K59="Sí",ISNUMBER(E59)),E59,"")</f>
        <v/>
      </c>
    </row>
    <row r="60" ht="75" customHeight="1">
      <c r="A60" s="12" t="inlineStr">
        <is>
          <t>D7</t>
        </is>
      </c>
      <c r="B60" s="12" t="inlineStr">
        <is>
          <t>7.5</t>
        </is>
      </c>
      <c r="C60" s="12" t="inlineStr">
        <is>
          <t>Si el riesgo residual de un tratamiento es alto, existe un procedimiento para consultar a la autoridad antes de iniciarlo. Verificar: procedimiento escrito.</t>
        </is>
      </c>
      <c r="D60" s="12" t="inlineStr">
        <is>
          <t>• 5.34 · Privacidad y protección de datos personales</t>
        </is>
      </c>
      <c r="E60" s="33">
        <f>IFERROR(AVERAGE('Controles marcos'!$E$35),"")</f>
        <v/>
      </c>
      <c r="F60" s="9" t="n"/>
      <c r="G60" s="9" t="n"/>
      <c r="H60" s="9" t="n"/>
      <c r="I60" s="9" t="n"/>
      <c r="J60" s="12" t="inlineStr">
        <is>
          <t>Obligatorio Ley 21.719</t>
        </is>
      </c>
      <c r="K60" s="34" t="inlineStr">
        <is>
          <t>Sí</t>
        </is>
      </c>
      <c r="L60" s="23">
        <f>IF(AND(K60="Sí",ISNUMBER(E60)),E60,"")</f>
        <v/>
      </c>
    </row>
    <row r="61" ht="75" customHeight="1">
      <c r="A61" s="12" t="inlineStr">
        <is>
          <t>D7</t>
        </is>
      </c>
      <c r="B61" s="12" t="inlineStr">
        <is>
          <t>7.6</t>
        </is>
      </c>
      <c r="C61" s="12" t="inlineStr">
        <is>
          <t>Las decisiones que afectan a personas y se toman solo por sistemas automáticos están identificadas. Verificar: inventario de decisiones automatizadas (por ejemplo, scoring, aprobaciones o precios personalizados).</t>
        </is>
      </c>
      <c r="D61" s="12" t="inlineStr">
        <is>
          <t>• 5.34 · Privacidad y protección de datos personales</t>
        </is>
      </c>
      <c r="E61" s="33">
        <f>IFERROR(AVERAGE('Controles marcos'!$E$35),"")</f>
        <v/>
      </c>
      <c r="F61" s="9" t="n"/>
      <c r="G61" s="9" t="n"/>
      <c r="H61" s="9" t="n"/>
      <c r="I61" s="9" t="n"/>
      <c r="J61" s="12" t="inlineStr">
        <is>
          <t>Obligatorio Ley 21.719</t>
        </is>
      </c>
      <c r="K61" s="34" t="inlineStr">
        <is>
          <t>Sí</t>
        </is>
      </c>
      <c r="L61" s="23">
        <f>IF(AND(K61="Sí",ISNUMBER(E61)),E61,"")</f>
        <v/>
      </c>
    </row>
    <row r="62" ht="75" customHeight="1">
      <c r="A62" s="12" t="inlineStr">
        <is>
          <t>D7</t>
        </is>
      </c>
      <c r="B62" s="12" t="inlineStr">
        <is>
          <t>7.7</t>
        </is>
      </c>
      <c r="C62" s="12" t="inlineStr">
        <is>
          <t>Ante una decisión automatizada, el titular puede pedir información sobre su lógica y solicitar revisión por una persona. Verificar: procedimiento escrito y un caso de prueba documentado.</t>
        </is>
      </c>
      <c r="D62" s="12" t="inlineStr">
        <is>
          <t>• 5.34 · Privacidad y protección de datos personales
• 5.8 · SI en gestión de proyectos</t>
        </is>
      </c>
      <c r="E62" s="33">
        <f>IFERROR(AVERAGE('Controles marcos'!$E$35,'Controles marcos'!$E$9),"")</f>
        <v/>
      </c>
      <c r="F62" s="9" t="n"/>
      <c r="G62" s="9" t="n"/>
      <c r="H62" s="9" t="n"/>
      <c r="I62" s="9" t="n"/>
      <c r="J62" s="12" t="inlineStr">
        <is>
          <t>Obligatorio Ley 21.719</t>
        </is>
      </c>
      <c r="K62" s="34" t="inlineStr">
        <is>
          <t>Sí</t>
        </is>
      </c>
      <c r="L62" s="23">
        <f>IF(AND(K62="Sí",ISNUMBER(E62)),E62,"")</f>
        <v/>
      </c>
    </row>
    <row r="63" ht="75" customHeight="1">
      <c r="A63" s="12" t="inlineStr">
        <is>
          <t>D8</t>
        </is>
      </c>
      <c r="B63" s="12" t="inlineStr">
        <is>
          <t>8.1</t>
        </is>
      </c>
      <c r="C63" s="12" t="inlineStr">
        <is>
          <t>Existe un sistema de gestión de seguridad de la información (ISO/IEC 27001) implementado o en implementación. Verificar: alcance del SGSI y su avance.</t>
        </is>
      </c>
      <c r="D63" s="12" t="inlineStr">
        <is>
          <t>• 5.1 · Políticas de seguridad de la información</t>
        </is>
      </c>
      <c r="E63" s="33">
        <f>IFERROR(AVERAGE('Controles marcos'!$E$2),"")</f>
        <v/>
      </c>
      <c r="F63" s="9" t="n"/>
      <c r="G63" s="9" t="n"/>
      <c r="H63" s="9" t="n"/>
      <c r="I63" s="9" t="n"/>
      <c r="J63" s="12" t="inlineStr">
        <is>
          <t>Obligatorio Ley 21.719</t>
        </is>
      </c>
      <c r="K63" s="34" t="inlineStr">
        <is>
          <t>Sí</t>
        </is>
      </c>
      <c r="L63" s="23">
        <f>IF(AND(K63="Sí",ISNUMBER(E63)),E63,"")</f>
        <v/>
      </c>
    </row>
    <row r="64" ht="75" customHeight="1">
      <c r="A64" s="12" t="inlineStr">
        <is>
          <t>D8</t>
        </is>
      </c>
      <c r="B64" s="12" t="inlineStr">
        <is>
          <t>8.2</t>
        </is>
      </c>
      <c r="C64" s="12" t="inlineStr">
        <is>
          <t>El acceso a los sistemas sigue el principio de mínimo privilegio, con separación de funciones y revisión periódica. Verificar: matriz de accesos y última revisión.</t>
        </is>
      </c>
      <c r="D64" s="12" t="inlineStr">
        <is>
          <t>• 8.2 · Derechos de acceso privilegiado
• 5.15 · Control de acceso</t>
        </is>
      </c>
      <c r="E64" s="33">
        <f>IFERROR(AVERAGE('Controles marcos'!$E$62,'Controles marcos'!$E$16),"")</f>
        <v/>
      </c>
      <c r="F64" s="9" t="n"/>
      <c r="G64" s="9" t="n"/>
      <c r="H64" s="9" t="n"/>
      <c r="I64" s="9" t="n"/>
      <c r="J64" s="12" t="inlineStr">
        <is>
          <t>Obligatorio Ley 21.719</t>
        </is>
      </c>
      <c r="K64" s="34" t="inlineStr">
        <is>
          <t>Sí</t>
        </is>
      </c>
      <c r="L64" s="23">
        <f>IF(AND(K64="Sí",ISNUMBER(E64)),E64,"")</f>
        <v/>
      </c>
    </row>
    <row r="65" ht="75" customHeight="1">
      <c r="A65" s="12" t="inlineStr">
        <is>
          <t>D8</t>
        </is>
      </c>
      <c r="B65" s="12" t="inlineStr">
        <is>
          <t>8.3</t>
        </is>
      </c>
      <c r="C65" s="12" t="inlineStr">
        <is>
          <t>Todos los sistemas que contienen datos personales exigen autenticación multifactor (MFA). Verificar: lista de sistemas con MFA activo y los que no lo tienen.</t>
        </is>
      </c>
      <c r="D65" s="12" t="inlineStr">
        <is>
          <t>• 5.17 · Información de autenticación
• 8.5 · Autenticación segura</t>
        </is>
      </c>
      <c r="E65" s="33">
        <f>IFERROR(AVERAGE('Controles marcos'!$E$18,'Controles marcos'!$E$65),"")</f>
        <v/>
      </c>
      <c r="F65" s="9" t="n"/>
      <c r="G65" s="9" t="n"/>
      <c r="H65" s="9" t="n"/>
      <c r="I65" s="9" t="n"/>
      <c r="J65" s="12" t="inlineStr">
        <is>
          <t>Obligatorio Ley 21.719</t>
        </is>
      </c>
      <c r="K65" s="34" t="inlineStr">
        <is>
          <t>Sí</t>
        </is>
      </c>
      <c r="L65" s="23">
        <f>IF(AND(K65="Sí",ISNUMBER(E65)),E65,"")</f>
        <v/>
      </c>
    </row>
    <row r="66" ht="75" customHeight="1">
      <c r="A66" s="12" t="inlineStr">
        <is>
          <t>D8</t>
        </is>
      </c>
      <c r="B66" s="12" t="inlineStr">
        <is>
          <t>8.4</t>
        </is>
      </c>
      <c r="C66" s="12" t="inlineStr">
        <is>
          <t>Los datos se cifran en tránsito y en reposo, incluidos respaldos y equipos portátiles. Verificar: configuración de cifrado por sistema y en equipos.</t>
        </is>
      </c>
      <c r="D66" s="12" t="inlineStr">
        <is>
          <t>• 8.24 · Uso de criptografía</t>
        </is>
      </c>
      <c r="E66" s="33">
        <f>IFERROR(AVERAGE('Controles marcos'!$E$84),"")</f>
        <v/>
      </c>
      <c r="F66" s="9" t="n"/>
      <c r="G66" s="9" t="n"/>
      <c r="H66" s="9" t="n"/>
      <c r="I66" s="9" t="n"/>
      <c r="J66" s="12" t="inlineStr">
        <is>
          <t>Obligatorio Ley 21.719</t>
        </is>
      </c>
      <c r="K66" s="34" t="inlineStr">
        <is>
          <t>Sí</t>
        </is>
      </c>
      <c r="L66" s="23">
        <f>IF(AND(K66="Sí",ISNUMBER(E66)),E66,"")</f>
        <v/>
      </c>
    </row>
    <row r="67" ht="75" customHeight="1">
      <c r="A67" s="12" t="inlineStr">
        <is>
          <t>D8</t>
        </is>
      </c>
      <c r="B67" s="12" t="inlineStr">
        <is>
          <t>8.5</t>
        </is>
      </c>
      <c r="C67" s="12" t="inlineStr">
        <is>
          <t>Las vulnerabilidades se corrigen con plazos según su criticidad. Verificar: último escaneo, hallazgos abiertos y plazos de parcheo.</t>
        </is>
      </c>
      <c r="D67" s="12" t="inlineStr">
        <is>
          <t>• 8.8 · Gestión de vulnerabilidades técnicas
• CIS 7 · Gestión continua de vulnerabilidades</t>
        </is>
      </c>
      <c r="E67" s="33">
        <f>IFERROR(AVERAGE('Controles marcos'!$E$68,'Controles marcos'!$E$142),"")</f>
        <v/>
      </c>
      <c r="F67" s="9" t="n"/>
      <c r="G67" s="9" t="n"/>
      <c r="H67" s="9" t="n"/>
      <c r="I67" s="9" t="n"/>
      <c r="J67" s="12" t="inlineStr">
        <is>
          <t>Obligatorio Ley 21.719</t>
        </is>
      </c>
      <c r="K67" s="34" t="inlineStr">
        <is>
          <t>Sí</t>
        </is>
      </c>
      <c r="L67" s="23">
        <f>IF(AND(K67="Sí",ISNUMBER(E67)),E67,"")</f>
        <v/>
      </c>
    </row>
    <row r="68" ht="75" customHeight="1">
      <c r="A68" s="12" t="inlineStr">
        <is>
          <t>D8</t>
        </is>
      </c>
      <c r="B68" s="12" t="inlineStr">
        <is>
          <t>8.6</t>
        </is>
      </c>
      <c r="C68" s="12" t="inlineStr">
        <is>
          <t>Los accesos a datos personales quedan registrados, los registros están protegidos y tienen plazo de retención. Verificar: logs de accesos y su retención.</t>
        </is>
      </c>
      <c r="D68" s="12" t="inlineStr">
        <is>
          <t>• 8.15 · Registro de actividades (logging)</t>
        </is>
      </c>
      <c r="E68" s="33">
        <f>IFERROR(AVERAGE('Controles marcos'!$E$75),"")</f>
        <v/>
      </c>
      <c r="F68" s="9" t="n"/>
      <c r="G68" s="9" t="n"/>
      <c r="H68" s="9" t="n"/>
      <c r="I68" s="9" t="n"/>
      <c r="J68" s="12" t="inlineStr">
        <is>
          <t>Obligatorio Ley 21.719</t>
        </is>
      </c>
      <c r="K68" s="34" t="inlineStr">
        <is>
          <t>Sí</t>
        </is>
      </c>
      <c r="L68" s="23">
        <f>IF(AND(K68="Sí",ISNUMBER(E68)),E68,"")</f>
        <v/>
      </c>
    </row>
    <row r="69" ht="75" customHeight="1">
      <c r="A69" s="12" t="inlineStr">
        <is>
          <t>D8</t>
        </is>
      </c>
      <c r="B69" s="12" t="inlineStr">
        <is>
          <t>8.7</t>
        </is>
      </c>
      <c r="C69" s="12" t="inlineStr">
        <is>
          <t>Los respaldos están cifrados y se prueban restaurándolos. Verificar: última prueba de restauración documentada.</t>
        </is>
      </c>
      <c r="D69" s="12" t="inlineStr">
        <is>
          <t>• 8.13 · Respaldo de información</t>
        </is>
      </c>
      <c r="E69" s="33">
        <f>IFERROR(AVERAGE('Controles marcos'!$E$73),"")</f>
        <v/>
      </c>
      <c r="F69" s="9" t="n"/>
      <c r="G69" s="9" t="n"/>
      <c r="H69" s="9" t="n"/>
      <c r="I69" s="9" t="n"/>
      <c r="J69" s="12" t="inlineStr">
        <is>
          <t>Obligatorio Ley 21.719</t>
        </is>
      </c>
      <c r="K69" s="34" t="inlineStr">
        <is>
          <t>Sí</t>
        </is>
      </c>
      <c r="L69" s="23">
        <f>IF(AND(K69="Sí",ISNUMBER(E69)),E69,"")</f>
        <v/>
      </c>
    </row>
    <row r="70" ht="75" customHeight="1">
      <c r="A70" s="12" t="inlineStr">
        <is>
          <t>D8</t>
        </is>
      </c>
      <c r="B70" s="12" t="inlineStr">
        <is>
          <t>8.8</t>
        </is>
      </c>
      <c r="C70" s="12" t="inlineStr">
        <is>
          <t>Se realizan pruebas de intrusión o evaluaciones técnicas al menos una vez al año, y los hallazgos críticos se cierran. Verificar: informe de pentest del último año.</t>
        </is>
      </c>
      <c r="D70" s="12" t="inlineStr">
        <is>
          <t>• 8.8 · Gestión de vulnerabilidades técnicas
• 5.35 · Revisión independiente de SI</t>
        </is>
      </c>
      <c r="E70" s="33">
        <f>IFERROR(AVERAGE('Controles marcos'!$E$68,'Controles marcos'!$E$36),"")</f>
        <v/>
      </c>
      <c r="F70" s="9" t="n"/>
      <c r="G70" s="9" t="n"/>
      <c r="H70" s="9" t="n"/>
      <c r="I70" s="9" t="n"/>
      <c r="J70" s="12" t="inlineStr">
        <is>
          <t>Obligatorio Ley 21.719</t>
        </is>
      </c>
      <c r="K70" s="34" t="inlineStr">
        <is>
          <t>Sí</t>
        </is>
      </c>
      <c r="L70" s="23">
        <f>IF(AND(K70="Sí",ISNUMBER(E70)),E70,"")</f>
        <v/>
      </c>
    </row>
    <row r="71" ht="75" customHeight="1">
      <c r="A71" s="12" t="inlineStr">
        <is>
          <t>D8</t>
        </is>
      </c>
      <c r="B71" s="12" t="inlineStr">
        <is>
          <t>8.9</t>
        </is>
      </c>
      <c r="C71" s="12" t="inlineStr">
        <is>
          <t>Los datos se seudonimizan o anonimizan cuando la finalidad lo permite. Verificar: casos donde se aplica y donde podría aplicarse.</t>
        </is>
      </c>
      <c r="D71" s="12" t="inlineStr">
        <is>
          <t>• 8.11 · Enmascaramiento de datos</t>
        </is>
      </c>
      <c r="E71" s="33">
        <f>IFERROR(AVERAGE('Controles marcos'!$E$71),"")</f>
        <v/>
      </c>
      <c r="F71" s="9" t="n"/>
      <c r="G71" s="9" t="n"/>
      <c r="H71" s="9" t="n"/>
      <c r="I71" s="9" t="n"/>
      <c r="J71" s="12" t="inlineStr">
        <is>
          <t>Obligatorio Ley 21.719</t>
        </is>
      </c>
      <c r="K71" s="34" t="inlineStr">
        <is>
          <t>Sí</t>
        </is>
      </c>
      <c r="L71" s="23">
        <f>IF(AND(K71="Sí",ISNUMBER(E71)),E71,"")</f>
        <v/>
      </c>
    </row>
    <row r="72" ht="75" customHeight="1">
      <c r="A72" s="12" t="inlineStr">
        <is>
          <t>D8</t>
        </is>
      </c>
      <c r="B72" s="12" t="inlineStr">
        <is>
          <t>8.10</t>
        </is>
      </c>
      <c r="C72" s="12" t="inlineStr">
        <is>
          <t>Las cuentas privilegiadas (administradores) tienen control reforzado y sus sesiones quedan registradas. Verificar: lista de cuentas privilegiadas y herramienta de control.</t>
        </is>
      </c>
      <c r="D72" s="12" t="inlineStr">
        <is>
          <t>• 8.2 · Derechos de acceso privilegiado
• 8.16 · Actividades de monitoreo</t>
        </is>
      </c>
      <c r="E72" s="33">
        <f>IFERROR(AVERAGE('Controles marcos'!$E$62,'Controles marcos'!$E$76),"")</f>
        <v/>
      </c>
      <c r="F72" s="9" t="n"/>
      <c r="G72" s="9" t="n"/>
      <c r="H72" s="9" t="n"/>
      <c r="I72" s="9" t="n"/>
      <c r="J72" s="12" t="inlineStr">
        <is>
          <t>Obligatorio Ley 21.719</t>
        </is>
      </c>
      <c r="K72" s="34" t="inlineStr">
        <is>
          <t>Sí</t>
        </is>
      </c>
      <c r="L72" s="23">
        <f>IF(AND(K72="Sí",ISNUMBER(E72)),E72,"")</f>
        <v/>
      </c>
    </row>
    <row r="73" ht="75" customHeight="1">
      <c r="A73" s="12" t="inlineStr">
        <is>
          <t>D8</t>
        </is>
      </c>
      <c r="B73" s="12" t="inlineStr">
        <is>
          <t>8.11</t>
        </is>
      </c>
      <c r="C73" s="12" t="inlineStr">
        <is>
          <t>Los equipos de usuario tienen MDM, cifrado y EDR. Verificar: cobertura de cada herramienta sobre el parque de equipos.</t>
        </is>
      </c>
      <c r="D73" s="12" t="inlineStr">
        <is>
          <t>• 8.1 · Dispositivos de usuario final</t>
        </is>
      </c>
      <c r="E73" s="33">
        <f>IFERROR(AVERAGE('Controles marcos'!$E$61),"")</f>
        <v/>
      </c>
      <c r="F73" s="9" t="n"/>
      <c r="G73" s="9" t="n"/>
      <c r="H73" s="9" t="n"/>
      <c r="I73" s="9" t="n"/>
      <c r="J73" s="12" t="inlineStr">
        <is>
          <t>Obligatorio Ley 21.719</t>
        </is>
      </c>
      <c r="K73" s="34" t="inlineStr">
        <is>
          <t>Sí</t>
        </is>
      </c>
      <c r="L73" s="23">
        <f>IF(AND(K73="Sí",ISNUMBER(E73)),E73,"")</f>
        <v/>
      </c>
    </row>
    <row r="74" ht="75" customHeight="1">
      <c r="A74" s="12" t="inlineStr">
        <is>
          <t>D8</t>
        </is>
      </c>
      <c r="B74" s="12" t="inlineStr">
        <is>
          <t>8.12</t>
        </is>
      </c>
      <c r="C74" s="12" t="inlineStr">
        <is>
          <t>Servidores y equipos tienen protección contra malware actualizada y monitoreada. Verificar: porcentaje de equipos con EDR y alertas recientes.</t>
        </is>
      </c>
      <c r="D74" s="12" t="inlineStr">
        <is>
          <t>• 8.7 · Protección contra malware
• CIS 10 · Defensas contra malware</t>
        </is>
      </c>
      <c r="E74" s="33">
        <f>IFERROR(AVERAGE('Controles marcos'!$E$67,'Controles marcos'!$E$144),"")</f>
        <v/>
      </c>
      <c r="F74" s="9" t="n"/>
      <c r="G74" s="9" t="n"/>
      <c r="H74" s="9" t="n"/>
      <c r="I74" s="9" t="n"/>
      <c r="J74" s="12" t="inlineStr">
        <is>
          <t>Obligatorio Ley 21.719</t>
        </is>
      </c>
      <c r="K74" s="34" t="inlineStr">
        <is>
          <t>Sí</t>
        </is>
      </c>
      <c r="L74" s="23">
        <f>IF(AND(K74="Sí",ISNUMBER(E74)),E74,"")</f>
        <v/>
      </c>
    </row>
    <row r="75" ht="75" customHeight="1">
      <c r="A75" s="12" t="inlineStr">
        <is>
          <t>D8</t>
        </is>
      </c>
      <c r="B75" s="12" t="inlineStr">
        <is>
          <t>8.13</t>
        </is>
      </c>
      <c r="C75" s="12" t="inlineStr">
        <is>
          <t>El acceso al código fuente y a la información está restringido por rol. Verificar: permisos del repositorio y de carpetas críticas.</t>
        </is>
      </c>
      <c r="D75" s="12" t="inlineStr">
        <is>
          <t>• 8.3 · Restricción de acceso a la información
• 8.4 · Acceso al código fuente</t>
        </is>
      </c>
      <c r="E75" s="33">
        <f>IFERROR(AVERAGE('Controles marcos'!$E$63,'Controles marcos'!$E$64),"")</f>
        <v/>
      </c>
      <c r="F75" s="9" t="n"/>
      <c r="G75" s="9" t="n"/>
      <c r="H75" s="9" t="n"/>
      <c r="I75" s="9" t="n"/>
      <c r="J75" s="12" t="inlineStr">
        <is>
          <t>Obligatorio Ley 21.719</t>
        </is>
      </c>
      <c r="K75" s="34" t="inlineStr">
        <is>
          <t>Sí</t>
        </is>
      </c>
      <c r="L75" s="23">
        <f>IF(AND(K75="Sí",ISNUMBER(E75)),E75,"")</f>
        <v/>
      </c>
    </row>
    <row r="76" ht="75" customHeight="1">
      <c r="A76" s="12" t="inlineStr">
        <is>
          <t>D8</t>
        </is>
      </c>
      <c r="B76" s="12" t="inlineStr">
        <is>
          <t>8.14</t>
        </is>
      </c>
      <c r="C76" s="12" t="inlineStr">
        <is>
          <t>Existen controles para evitar la fuga de datos (envíos masivos, copias a dispositivos externos). Verificar: reglas de DLP o equivalentes y su alerta.</t>
        </is>
      </c>
      <c r="D76" s="12" t="inlineStr">
        <is>
          <t>• 8.12 · Prevención de fuga de datos</t>
        </is>
      </c>
      <c r="E76" s="33">
        <f>IFERROR(AVERAGE('Controles marcos'!$E$72),"")</f>
        <v/>
      </c>
      <c r="F76" s="9" t="n"/>
      <c r="G76" s="9" t="n"/>
      <c r="H76" s="9" t="n"/>
      <c r="I76" s="9" t="n"/>
      <c r="J76" s="12" t="inlineStr">
        <is>
          <t>Obligatorio Ley 21.719</t>
        </is>
      </c>
      <c r="K76" s="34" t="inlineStr">
        <is>
          <t>Sí</t>
        </is>
      </c>
      <c r="L76" s="23">
        <f>IF(AND(K76="Sí",ISNUMBER(E76)),E76,"")</f>
        <v/>
      </c>
    </row>
    <row r="77" ht="75" customHeight="1">
      <c r="A77" s="12" t="inlineStr">
        <is>
          <t>D8</t>
        </is>
      </c>
      <c r="B77" s="12" t="inlineStr">
        <is>
          <t>8.15</t>
        </is>
      </c>
      <c r="C77" s="12" t="inlineStr">
        <is>
          <t>Se controla la capacidad de los servicios y la sincronización horaria de los sistemas. Verificar: monitoreo de capacidad y configuración NTP.</t>
        </is>
      </c>
      <c r="D77" s="12" t="inlineStr">
        <is>
          <t>• 8.6 · Gestión de capacidad
• 8.17 · Sincronización de relojes</t>
        </is>
      </c>
      <c r="E77" s="33">
        <f>IFERROR(AVERAGE('Controles marcos'!$E$66,'Controles marcos'!$E$77),"")</f>
        <v/>
      </c>
      <c r="F77" s="9" t="n"/>
      <c r="G77" s="9" t="n"/>
      <c r="H77" s="9" t="n"/>
      <c r="I77" s="9" t="n"/>
      <c r="J77" s="12" t="inlineStr">
        <is>
          <t>Obligatorio Ley 21.719</t>
        </is>
      </c>
      <c r="K77" s="34" t="inlineStr">
        <is>
          <t>Sí</t>
        </is>
      </c>
      <c r="L77" s="23">
        <f>IF(AND(K77="Sí",ISNUMBER(E77)),E77,"")</f>
        <v/>
      </c>
    </row>
    <row r="78" ht="75" customHeight="1">
      <c r="A78" s="12" t="inlineStr">
        <is>
          <t>D8</t>
        </is>
      </c>
      <c r="B78" s="12" t="inlineStr">
        <is>
          <t>8.16</t>
        </is>
      </c>
      <c r="C78" s="12" t="inlineStr">
        <is>
          <t>Las redes están segmentadas y protegidas con firewalls y servicios de red seguros. Verificar: diagrama de red y reglas de firewall.</t>
        </is>
      </c>
      <c r="D78" s="12" t="inlineStr">
        <is>
          <t>• 8.20 · Seguridad en redes
• 8.21 · Seguridad de los servicios de red
• 8.22 · Segregación de redes
• 8.23 · Filtrado web</t>
        </is>
      </c>
      <c r="E78" s="33">
        <f>IFERROR(AVERAGE('Controles marcos'!$E$80,'Controles marcos'!$E$81,'Controles marcos'!$E$82,'Controles marcos'!$E$83),"")</f>
        <v/>
      </c>
      <c r="F78" s="9" t="n"/>
      <c r="G78" s="9" t="n"/>
      <c r="H78" s="9" t="n"/>
      <c r="I78" s="9" t="n"/>
      <c r="J78" s="12" t="inlineStr">
        <is>
          <t>Obligatorio Ley 21.719</t>
        </is>
      </c>
      <c r="K78" s="34" t="inlineStr">
        <is>
          <t>Sí</t>
        </is>
      </c>
      <c r="L78" s="23">
        <f>IF(AND(K78="Sí",ISNUMBER(E78)),E78,"")</f>
        <v/>
      </c>
    </row>
    <row r="79" ht="75" customHeight="1">
      <c r="A79" s="12" t="inlineStr">
        <is>
          <t>D8</t>
        </is>
      </c>
      <c r="B79" s="12" t="inlineStr">
        <is>
          <t>8.17</t>
        </is>
      </c>
      <c r="C79" s="12" t="inlineStr">
        <is>
          <t>Las herramientas de administración con privilegios están restringidas y solo se instala software autorizado. Verificar: lista de herramientas privilegiadas y de software permitido.</t>
        </is>
      </c>
      <c r="D79" s="12" t="inlineStr">
        <is>
          <t>• 8.18 · Uso de programas de utilidad con privilegios
• 8.19 · Instalación de software en sistemas operativos
• CIS 2 · Inventario de software</t>
        </is>
      </c>
      <c r="E79" s="33">
        <f>IFERROR(AVERAGE('Controles marcos'!$E$78,'Controles marcos'!$E$79,'Controles marcos'!$E$138),"")</f>
        <v/>
      </c>
      <c r="F79" s="9" t="n"/>
      <c r="G79" s="9" t="n"/>
      <c r="H79" s="9" t="n"/>
      <c r="I79" s="9" t="n"/>
      <c r="J79" s="12" t="inlineStr">
        <is>
          <t>Obligatorio Ley 21.719</t>
        </is>
      </c>
      <c r="K79" s="34" t="inlineStr">
        <is>
          <t>Sí</t>
        </is>
      </c>
      <c r="L79" s="23">
        <f>IF(AND(K79="Sí",ISNUMBER(E79)),E79,"")</f>
        <v/>
      </c>
    </row>
    <row r="80" ht="75" customHeight="1">
      <c r="A80" s="12" t="inlineStr">
        <is>
          <t>D8</t>
        </is>
      </c>
      <c r="B80" s="12" t="inlineStr">
        <is>
          <t>8.18</t>
        </is>
      </c>
      <c r="C80" s="12" t="inlineStr">
        <is>
          <t>Las identidades y credenciales de usuarios, servicios y equipos se gestionan con procedimiento y registro. Verificar: proceso de alta y baja con tickets.</t>
        </is>
      </c>
      <c r="D80" s="12" t="inlineStr">
        <is>
          <t>• 5.16 · Gestión de identidades
• NIST PR.AA-01 · Gestión de identidades y credenciales
• NIST PR.AA-02 · Verificación de identidades
• CIS 5 · Gestión de cuentas</t>
        </is>
      </c>
      <c r="E80" s="33">
        <f>IFERROR(AVERAGE('Controles marcos'!$E$17,'Controles marcos'!$E$113,'Controles marcos'!$E$114,'Controles marcos'!$E$140),"")</f>
        <v/>
      </c>
      <c r="F80" s="9" t="n"/>
      <c r="G80" s="9" t="n"/>
      <c r="H80" s="9" t="n"/>
      <c r="I80" s="9" t="n"/>
      <c r="J80" s="12" t="inlineStr">
        <is>
          <t>Obligatorio Ley 21.719</t>
        </is>
      </c>
      <c r="K80" s="34" t="inlineStr">
        <is>
          <t>Sí</t>
        </is>
      </c>
      <c r="L80" s="23">
        <f>IF(AND(K80="Sí",ISNUMBER(E80)),E80,"")</f>
        <v/>
      </c>
    </row>
    <row r="81" ht="75" customHeight="1">
      <c r="A81" s="12" t="inlineStr">
        <is>
          <t>D8</t>
        </is>
      </c>
      <c r="B81" s="12" t="inlineStr">
        <is>
          <t>8.19</t>
        </is>
      </c>
      <c r="C81" s="12" t="inlineStr">
        <is>
          <t>Los accesos verifican la autenticación de cada usuario y protegen las aserciones de identidad. Verificar: configuración de autenticación y tokens.</t>
        </is>
      </c>
      <c r="D81" s="12" t="inlineStr">
        <is>
          <t>• NIST PR.AA-03 · Autenticación de usuarios, servicios y equipos
• NIST PR.AA-04 · Protección de aserciones de identidad
• 5.17 · Información de autenticación</t>
        </is>
      </c>
      <c r="E81" s="33">
        <f>IFERROR(AVERAGE('Controles marcos'!$E$115,'Controles marcos'!$E$116,'Controles marcos'!$E$18),"")</f>
        <v/>
      </c>
      <c r="F81" s="9" t="n"/>
      <c r="G81" s="9" t="n"/>
      <c r="H81" s="9" t="n"/>
      <c r="I81" s="9" t="n"/>
      <c r="J81" s="12" t="inlineStr">
        <is>
          <t>Obligatorio Ley 21.719</t>
        </is>
      </c>
      <c r="K81" s="34" t="inlineStr">
        <is>
          <t>Sí</t>
        </is>
      </c>
      <c r="L81" s="23">
        <f>IF(AND(K81="Sí",ISNUMBER(E81)),E81,"")</f>
        <v/>
      </c>
    </row>
    <row r="82" ht="75" customHeight="1">
      <c r="A82" s="12" t="inlineStr">
        <is>
          <t>D8</t>
        </is>
      </c>
      <c r="B82" s="12" t="inlineStr">
        <is>
          <t>8.20</t>
        </is>
      </c>
      <c r="C82" s="12" t="inlineStr">
        <is>
          <t>Los permisos se asignan por mínimo privilegio y se revisan periódicamente. Verificar: última revisión de accesos (recertificación).</t>
        </is>
      </c>
      <c r="D82" s="12" t="inlineStr">
        <is>
          <t>• 5.18 · Derechos de acceso
• NIST PR.AA-05 · Permisos con mínimo privilegio y separación de funciones
• CIS 6 · Gestión del control de acceso</t>
        </is>
      </c>
      <c r="E82" s="33">
        <f>IFERROR(AVERAGE('Controles marcos'!$E$19,'Controles marcos'!$E$117,'Controles marcos'!$E$141),"")</f>
        <v/>
      </c>
      <c r="F82" s="9" t="n"/>
      <c r="G82" s="9" t="n"/>
      <c r="H82" s="9" t="n"/>
      <c r="I82" s="9" t="n"/>
      <c r="J82" s="12" t="inlineStr">
        <is>
          <t>Obligatorio Ley 21.719</t>
        </is>
      </c>
      <c r="K82" s="34" t="inlineStr">
        <is>
          <t>Sí</t>
        </is>
      </c>
      <c r="L82" s="23">
        <f>IF(AND(K82="Sí",ISNUMBER(E82)),E82,"")</f>
        <v/>
      </c>
    </row>
    <row r="83" ht="75" customHeight="1">
      <c r="A83" s="12" t="inlineStr">
        <is>
          <t>D8</t>
        </is>
      </c>
      <c r="B83" s="12" t="inlineStr">
        <is>
          <t>8.21</t>
        </is>
      </c>
      <c r="C83" s="12" t="inlineStr">
        <is>
          <t>Los respaldos están protegidos, separados del sistema principal y resguardados. Verificar: ubicación de los respaldos y control de acceso.</t>
        </is>
      </c>
      <c r="D83" s="12" t="inlineStr">
        <is>
          <t>• NIST PR.DS-11 · Respaldos de datos</t>
        </is>
      </c>
      <c r="E83" s="33">
        <f>IFERROR(AVERAGE('Controles marcos'!$E$118),"")</f>
        <v/>
      </c>
      <c r="F83" s="9" t="n"/>
      <c r="G83" s="9" t="n"/>
      <c r="H83" s="9" t="n"/>
      <c r="I83" s="9" t="n"/>
      <c r="J83" s="12" t="inlineStr">
        <is>
          <t>Obligatorio Ley 21.719</t>
        </is>
      </c>
      <c r="K83" s="34" t="inlineStr">
        <is>
          <t>Sí</t>
        </is>
      </c>
      <c r="L83" s="23">
        <f>IF(AND(K83="Sí",ISNUMBER(E83)),E83,"")</f>
        <v/>
      </c>
    </row>
    <row r="84" ht="75" customHeight="1">
      <c r="A84" s="12" t="inlineStr">
        <is>
          <t>D8</t>
        </is>
      </c>
      <c r="B84" s="12" t="inlineStr">
        <is>
          <t>8.22</t>
        </is>
      </c>
      <c r="C84" s="12" t="inlineStr">
        <is>
          <t>Las aplicaciones se desarrollan con requisitos de seguridad, codificación segura y pruebas antes de salir a producción. Verificar: procedimiento de desarrollo y evidencia de pruebas.</t>
        </is>
      </c>
      <c r="D84" s="12" t="inlineStr">
        <is>
          <t>• 8.26 · Requisitos de seguridad en aplicaciones
• 8.28 · Codificación segura
• 8.29 · Pruebas de seguridad en desarrollo y aceptación</t>
        </is>
      </c>
      <c r="E84" s="33">
        <f>IFERROR(AVERAGE('Controles marcos'!$E$86,'Controles marcos'!$E$88,'Controles marcos'!$E$89),"")</f>
        <v/>
      </c>
      <c r="F84" s="9" t="n"/>
      <c r="G84" s="9" t="n"/>
      <c r="H84" s="9" t="n"/>
      <c r="I84" s="9" t="n"/>
      <c r="J84" s="12" t="inlineStr">
        <is>
          <t>Obligatorio Ley 21.719</t>
        </is>
      </c>
      <c r="K84" s="34" t="inlineStr">
        <is>
          <t>Sí</t>
        </is>
      </c>
      <c r="L84" s="23">
        <f>IF(AND(K84="Sí",ISNUMBER(E84)),E84,"")</f>
        <v/>
      </c>
    </row>
    <row r="85" ht="75" customHeight="1">
      <c r="A85" s="12" t="inlineStr">
        <is>
          <t>D8</t>
        </is>
      </c>
      <c r="B85" s="12" t="inlineStr">
        <is>
          <t>8.23</t>
        </is>
      </c>
      <c r="C85" s="12" t="inlineStr">
        <is>
          <t>Si se externaliza desarrollo, el proveedor cumple requisitos de seguridad, y los entornos de desarrollo, prueba y producción están separados. Verificar: contratos y diagrama de entornos.</t>
        </is>
      </c>
      <c r="D85" s="12" t="inlineStr">
        <is>
          <t>• 8.30 · Desarrollo externalizado
• 8.31 · Separación de entornos
• 8.33 · Información de prueba</t>
        </is>
      </c>
      <c r="E85" s="33">
        <f>IFERROR(AVERAGE('Controles marcos'!$E$90,'Controles marcos'!$E$91,'Controles marcos'!$E$93),"")</f>
        <v/>
      </c>
      <c r="F85" s="9" t="n"/>
      <c r="G85" s="9" t="n"/>
      <c r="H85" s="9" t="n"/>
      <c r="I85" s="9" t="n"/>
      <c r="J85" s="12" t="inlineStr">
        <is>
          <t>Obligatorio Ley 21.719</t>
        </is>
      </c>
      <c r="K85" s="34" t="inlineStr">
        <is>
          <t>Sí</t>
        </is>
      </c>
      <c r="L85" s="23">
        <f>IF(AND(K85="Sí",ISNUMBER(E85)),E85,"")</f>
        <v/>
      </c>
    </row>
    <row r="86" ht="75" customHeight="1">
      <c r="A86" s="12" t="inlineStr">
        <is>
          <t>D8</t>
        </is>
      </c>
      <c r="B86" s="12" t="inlineStr">
        <is>
          <t>8.24</t>
        </is>
      </c>
      <c r="C86" s="12" t="inlineStr">
        <is>
          <t>Los cambios a sistemas en producción se aprueban, prueban y registran antes de implementarse. Verificar: registro de cambios de los últimos meses.</t>
        </is>
      </c>
      <c r="D86" s="12" t="inlineStr">
        <is>
          <t>• 8.32 · Gestión de cambios
• COBIT BAI06 · proceso COBIT 5</t>
        </is>
      </c>
      <c r="E86" s="33">
        <f>IFERROR(AVERAGE('Controles marcos'!$E$92,'Controles marcos'!$E$154),"")</f>
        <v/>
      </c>
      <c r="F86" s="9" t="n"/>
      <c r="G86" s="9" t="n"/>
      <c r="H86" s="9" t="n"/>
      <c r="I86" s="9" t="n"/>
      <c r="J86" s="12" t="inlineStr">
        <is>
          <t>Obligatorio Ley 21.719</t>
        </is>
      </c>
      <c r="K86" s="34" t="inlineStr">
        <is>
          <t>Sí</t>
        </is>
      </c>
      <c r="L86" s="23">
        <f>IF(AND(K86="Sí",ISNUMBER(E86)),E86,"")</f>
        <v/>
      </c>
    </row>
    <row r="87" ht="75" customHeight="1">
      <c r="A87" s="12" t="inlineStr">
        <is>
          <t>D8</t>
        </is>
      </c>
      <c r="B87" s="12" t="inlineStr">
        <is>
          <t>8.25</t>
        </is>
      </c>
      <c r="C87" s="12" t="inlineStr">
        <is>
          <t>Existe un modelo RBAC documentado (roles, perfiles y matriz de accesos) revisado periódicamente. Verificar: matriz de roles y fecha de revisión.</t>
        </is>
      </c>
      <c r="D87" s="12" t="inlineStr">
        <is>
          <t>• 5.15 · Control de acceso
• 5.18 · Derechos de acceso
• NIST PR.AA-05 · Permisos con mínimo privilegio y separación de funciones
• PCI Req 7 · Acceso restringido según necesidad de saber</t>
        </is>
      </c>
      <c r="E87" s="33">
        <f>IFERROR(AVERAGE('Controles marcos'!$E$16,'Controles marcos'!$E$19,'Controles marcos'!$E$117,'Controles marcos'!$E$160),"")</f>
        <v/>
      </c>
      <c r="F87" s="9" t="n"/>
      <c r="G87" s="9" t="n"/>
      <c r="H87" s="9" t="n"/>
      <c r="I87" s="9" t="n"/>
      <c r="J87" s="12" t="inlineStr">
        <is>
          <t>Obligatorio Ley 21.719</t>
        </is>
      </c>
      <c r="K87" s="34" t="inlineStr">
        <is>
          <t>Sí</t>
        </is>
      </c>
      <c r="L87" s="23">
        <f>IF(AND(K87="Sí",ISNUMBER(E87)),E87,"")</f>
        <v/>
      </c>
    </row>
    <row r="88" ht="75" customHeight="1">
      <c r="A88" s="12" t="inlineStr">
        <is>
          <t>D8</t>
        </is>
      </c>
      <c r="B88" s="12" t="inlineStr">
        <is>
          <t>8.26</t>
        </is>
      </c>
      <c r="C88" s="12" t="inlineStr">
        <is>
          <t>El acceso al entorno de pagos exige autenticación fuerte según PCI DSS (requisitos 8). Verificar: MFA en acceso a entornos de pago.</t>
        </is>
      </c>
      <c r="D88" s="12" t="inlineStr">
        <is>
          <t>• 8.5 · Autenticación segura
• PCI Req 8 · Identificación de usuarios y autenticación del acceso</t>
        </is>
      </c>
      <c r="E88" s="33">
        <f>IFERROR(AVERAGE('Controles marcos'!$E$65,'Controles marcos'!$E$161),"")</f>
        <v/>
      </c>
      <c r="F88" s="9" t="n"/>
      <c r="G88" s="9" t="n"/>
      <c r="H88" s="9" t="n"/>
      <c r="I88" s="9" t="n"/>
      <c r="J88" s="12" t="inlineStr">
        <is>
          <t>Extra (marco o buena práctica)</t>
        </is>
      </c>
      <c r="K88" s="34" t="inlineStr">
        <is>
          <t>No</t>
        </is>
      </c>
      <c r="L88" s="23">
        <f>IF(AND(K88="Sí",ISNUMBER(E88)),E88,"")</f>
        <v/>
      </c>
    </row>
    <row r="89" ht="75" customHeight="1">
      <c r="A89" s="12" t="inlineStr">
        <is>
          <t>D8</t>
        </is>
      </c>
      <c r="B89" s="12" t="inlineStr">
        <is>
          <t>8.27</t>
        </is>
      </c>
      <c r="C89" s="12" t="inlineStr">
        <is>
          <t>Los equipos del entorno de pagos tienen antivirus o EDR actualizado y monitoreado (PCI DSS requisito 5). Verificar: cobertura y última alerta.</t>
        </is>
      </c>
      <c r="D89" s="12" t="inlineStr">
        <is>
          <t>• 8.7 · Protección contra malware
• PCI Req 5 · Protección de sistemas contra software malicioso</t>
        </is>
      </c>
      <c r="E89" s="33">
        <f>IFERROR(AVERAGE('Controles marcos'!$E$67,'Controles marcos'!$E$159),"")</f>
        <v/>
      </c>
      <c r="F89" s="9" t="n"/>
      <c r="G89" s="9" t="n"/>
      <c r="H89" s="9" t="n"/>
      <c r="I89" s="9" t="n"/>
      <c r="J89" s="12" t="inlineStr">
        <is>
          <t>Extra (marco o buena práctica)</t>
        </is>
      </c>
      <c r="K89" s="34" t="inlineStr">
        <is>
          <t>No</t>
        </is>
      </c>
      <c r="L89" s="23">
        <f>IF(AND(K89="Sí",ISNUMBER(E89)),E89,"")</f>
        <v/>
      </c>
    </row>
    <row r="90" ht="75" customHeight="1">
      <c r="A90" s="12" t="inlineStr">
        <is>
          <t>D8</t>
        </is>
      </c>
      <c r="B90" s="12" t="inlineStr">
        <is>
          <t>8.28</t>
        </is>
      </c>
      <c r="C90" s="12" t="inlineStr">
        <is>
          <t>Prevención de fuga de datos (DLP) en correo y nube.</t>
        </is>
      </c>
      <c r="D90" s="12" t="inlineStr">
        <is>
          <t>• 8.12 · Prevención de fuga de datos</t>
        </is>
      </c>
      <c r="E90" s="33">
        <f>IFERROR(AVERAGE('Controles marcos'!$E$72),"")</f>
        <v/>
      </c>
      <c r="F90" s="9" t="n"/>
      <c r="G90" s="9" t="n"/>
      <c r="H90" s="9" t="n"/>
      <c r="I90" s="9" t="n"/>
      <c r="J90" s="12" t="inlineStr">
        <is>
          <t>Extra (marco o buena práctica)</t>
        </is>
      </c>
      <c r="K90" s="34" t="inlineStr">
        <is>
          <t>No</t>
        </is>
      </c>
      <c r="L90" s="23">
        <f>IF(AND(K90="Sí",ISNUMBER(E90)),E90,"")</f>
        <v/>
      </c>
    </row>
    <row r="91" ht="75" customHeight="1">
      <c r="A91" s="12" t="inlineStr">
        <is>
          <t>D8</t>
        </is>
      </c>
      <c r="B91" s="12" t="inlineStr">
        <is>
          <t>8.29</t>
        </is>
      </c>
      <c r="C91" s="12" t="inlineStr">
        <is>
          <t>Política de dispositivos personales (BYOD) y de trabajo remoto con cifrado y borrado remoto.</t>
        </is>
      </c>
      <c r="D91" s="12" t="inlineStr">
        <is>
          <t>• 8.1 · Dispositivos de usuario final
• 6.7 · Trabajo remoto</t>
        </is>
      </c>
      <c r="E91" s="33">
        <f>IFERROR(AVERAGE('Controles marcos'!$E$61,'Controles marcos'!$E$45),"")</f>
        <v/>
      </c>
      <c r="F91" s="9" t="n"/>
      <c r="G91" s="9" t="n"/>
      <c r="H91" s="9" t="n"/>
      <c r="I91" s="9" t="n"/>
      <c r="J91" s="12" t="inlineStr">
        <is>
          <t>Extra (marco o buena práctica)</t>
        </is>
      </c>
      <c r="K91" s="34" t="inlineStr">
        <is>
          <t>No</t>
        </is>
      </c>
      <c r="L91" s="23">
        <f>IF(AND(K91="Sí",ISNUMBER(E91)),E91,"")</f>
        <v/>
      </c>
    </row>
    <row r="92" ht="75" customHeight="1">
      <c r="A92" s="12" t="inlineStr">
        <is>
          <t>D9</t>
        </is>
      </c>
      <c r="B92" s="12" t="inlineStr">
        <is>
          <t>9.1</t>
        </is>
      </c>
      <c r="C92" s="12" t="inlineStr">
        <is>
          <t>Existe un procedimiento de respuesta a incidentes con roles y responsabilidades asignados. Verificar: procedimiento y nombres de responsables.</t>
        </is>
      </c>
      <c r="D92" s="12" t="inlineStr">
        <is>
          <t>• 5.24 · Planificación y preparación de gestión de incidentes
• NIST RS.MA-01 · Plan de respuesta ejecutado con terceros
• CIS 17 · Gestión de respuesta a incidentes</t>
        </is>
      </c>
      <c r="E92" s="33">
        <f>IFERROR(AVERAGE('Controles marcos'!$E$25,'Controles marcos'!$E$123,'Controles marcos'!$E$146),"")</f>
        <v/>
      </c>
      <c r="F92" s="9" t="n"/>
      <c r="G92" s="9" t="n"/>
      <c r="H92" s="9" t="n"/>
      <c r="I92" s="9" t="n"/>
      <c r="J92" s="12" t="inlineStr">
        <is>
          <t>Obligatorio Ley 21.719</t>
        </is>
      </c>
      <c r="K92" s="34" t="inlineStr">
        <is>
          <t>Sí</t>
        </is>
      </c>
      <c r="L92" s="23">
        <f>IF(AND(K92="Sí",ISNUMBER(E92)),E92,"")</f>
        <v/>
      </c>
    </row>
    <row r="93" ht="75" customHeight="1">
      <c r="A93" s="12" t="inlineStr">
        <is>
          <t>D9</t>
        </is>
      </c>
      <c r="B93" s="12" t="inlineStr">
        <is>
          <t>9.2</t>
        </is>
      </c>
      <c r="C93" s="12" t="inlineStr">
        <is>
          <t>Existe un mecanismo para detectar y registrar vulneraciones que afecten datos personales. Verificar: fuentes de detección (alertas, reportes del personal) y registro.</t>
        </is>
      </c>
      <c r="D93" s="12" t="inlineStr">
        <is>
          <t>• 6.8 · Reporte de eventos de SI
• 5.25 · Evaluación y decisión sobre eventos de SI
• NIST RS.AN-07 · Recolección de datos del incidente</t>
        </is>
      </c>
      <c r="E93" s="33">
        <f>IFERROR(AVERAGE('Controles marcos'!$E$46,'Controles marcos'!$E$26,'Controles marcos'!$E$130),"")</f>
        <v/>
      </c>
      <c r="F93" s="9" t="n"/>
      <c r="G93" s="9" t="n"/>
      <c r="H93" s="9" t="n"/>
      <c r="I93" s="9" t="n"/>
      <c r="J93" s="12" t="inlineStr">
        <is>
          <t>Obligatorio Ley 21.719</t>
        </is>
      </c>
      <c r="K93" s="34" t="inlineStr">
        <is>
          <t>Sí</t>
        </is>
      </c>
      <c r="L93" s="23">
        <f>IF(AND(K93="Sí",ISNUMBER(E93)),E93,"")</f>
        <v/>
      </c>
    </row>
    <row r="94" ht="75" customHeight="1">
      <c r="A94" s="12" t="inlineStr">
        <is>
          <t>D9</t>
        </is>
      </c>
      <c r="B94" s="12" t="inlineStr">
        <is>
          <t>9.3</t>
        </is>
      </c>
      <c r="C94" s="12" t="inlineStr">
        <is>
          <t>Las vulneraciones que afectan datos personales se notifican a la autoridad dentro del plazo legal. Verificar: plazo exacto según el texto oficial y el procedimiento que lo cumple.</t>
        </is>
      </c>
      <c r="D94" s="12" t="inlineStr">
        <is>
          <t>• 5.26 · Respuesta a incidentes de SI
• L21.719 Art.14 sexies · Deber de reportar vulneraciones de seguridad</t>
        </is>
      </c>
      <c r="E94" s="33">
        <f>IFERROR(AVERAGE('Controles marcos'!$E$27,'Controles marcos'!$E$162),"")</f>
        <v/>
      </c>
      <c r="F94" s="9" t="n"/>
      <c r="G94" s="9" t="n"/>
      <c r="H94" s="9" t="n"/>
      <c r="I94" s="9" t="n"/>
      <c r="J94" s="12" t="inlineStr">
        <is>
          <t>Obligatorio Ley 21.719</t>
        </is>
      </c>
      <c r="K94" s="34" t="inlineStr">
        <is>
          <t>Sí</t>
        </is>
      </c>
      <c r="L94" s="23">
        <f>IF(AND(K94="Sí",ISNUMBER(E94)),E94,"")</f>
        <v/>
      </c>
    </row>
    <row r="95" ht="75" customHeight="1">
      <c r="A95" s="12" t="inlineStr">
        <is>
          <t>D9</t>
        </is>
      </c>
      <c r="B95" s="12" t="inlineStr">
        <is>
          <t>9.4</t>
        </is>
      </c>
      <c r="C95" s="12" t="inlineStr">
        <is>
          <t>Cuando hay riesgo elevado para los titulares, se les notifica sin demora. Verificar: criterio de riesgo y canal de notificación.</t>
        </is>
      </c>
      <c r="D95" s="12" t="inlineStr">
        <is>
          <t>• 5.26 · Respuesta a incidentes de SI
• NIST RS.CO-02 · Notificación a partes interesadas</t>
        </is>
      </c>
      <c r="E95" s="33">
        <f>IFERROR(AVERAGE('Controles marcos'!$E$27,'Controles marcos'!$E$132),"")</f>
        <v/>
      </c>
      <c r="F95" s="9" t="n"/>
      <c r="G95" s="9" t="n"/>
      <c r="H95" s="9" t="n"/>
      <c r="I95" s="9" t="n"/>
      <c r="J95" s="12" t="inlineStr">
        <is>
          <t>Obligatorio Ley 21.719</t>
        </is>
      </c>
      <c r="K95" s="34" t="inlineStr">
        <is>
          <t>Sí</t>
        </is>
      </c>
      <c r="L95" s="23">
        <f>IF(AND(K95="Sí",ISNUMBER(E95)),E95,"")</f>
        <v/>
      </c>
    </row>
    <row r="96" ht="75" customHeight="1">
      <c r="A96" s="12" t="inlineStr">
        <is>
          <t>D9</t>
        </is>
      </c>
      <c r="B96" s="12" t="inlineStr">
        <is>
          <t>9.5</t>
        </is>
      </c>
      <c r="C96" s="12" t="inlineStr">
        <is>
          <t>Existen plantillas listas de notificación a la autoridad y a los titulares. Verificar: plantillas vigentes.</t>
        </is>
      </c>
      <c r="D96" s="12" t="inlineStr">
        <is>
          <t>• 5.26 · Respuesta a incidentes de SI
• NIST RS.CO-03 · Información compartida con partes designadas</t>
        </is>
      </c>
      <c r="E96" s="33">
        <f>IFERROR(AVERAGE('Controles marcos'!$E$27,'Controles marcos'!$E$133),"")</f>
        <v/>
      </c>
      <c r="F96" s="9" t="n"/>
      <c r="G96" s="9" t="n"/>
      <c r="H96" s="9" t="n"/>
      <c r="I96" s="9" t="n"/>
      <c r="J96" s="12" t="inlineStr">
        <is>
          <t>Obligatorio Ley 21.719</t>
        </is>
      </c>
      <c r="K96" s="34" t="inlineStr">
        <is>
          <t>Sí</t>
        </is>
      </c>
      <c r="L96" s="23">
        <f>IF(AND(K96="Sí",ISNUMBER(E96)),E96,"")</f>
        <v/>
      </c>
    </row>
    <row r="97" ht="75" customHeight="1">
      <c r="A97" s="12" t="inlineStr">
        <is>
          <t>D9</t>
        </is>
      </c>
      <c r="B97" s="12" t="inlineStr">
        <is>
          <t>9.6</t>
        </is>
      </c>
      <c r="C97" s="12" t="inlineStr">
        <is>
          <t>Se realiza al menos una vez al año un simulacro de brecha de datos personales. Verificar: fecha y resultados del último simulacro.</t>
        </is>
      </c>
      <c r="D97" s="12" t="inlineStr">
        <is>
          <t>• 5.24 · Planificación y preparación de gestión de incidentes</t>
        </is>
      </c>
      <c r="E97" s="33">
        <f>IFERROR(AVERAGE('Controles marcos'!$E$25),"")</f>
        <v/>
      </c>
      <c r="F97" s="9" t="n"/>
      <c r="G97" s="9" t="n"/>
      <c r="H97" s="9" t="n"/>
      <c r="I97" s="9" t="n"/>
      <c r="J97" s="12" t="inlineStr">
        <is>
          <t>Obligatorio Ley 21.719</t>
        </is>
      </c>
      <c r="K97" s="34" t="inlineStr">
        <is>
          <t>Sí</t>
        </is>
      </c>
      <c r="L97" s="23">
        <f>IF(AND(K97="Sí",ISNUMBER(E97)),E97,"")</f>
        <v/>
      </c>
    </row>
    <row r="98" ht="75" customHeight="1">
      <c r="A98" s="12" t="inlineStr">
        <is>
          <t>D9</t>
        </is>
      </c>
      <c r="B98" s="12" t="inlineStr">
        <is>
          <t>9.7</t>
        </is>
      </c>
      <c r="C98" s="12" t="inlineStr">
        <is>
          <t>Cada vulneración queda registrada con causa raíz, impacto y acciones correctivas. Verificar: bitácora de incidentes.</t>
        </is>
      </c>
      <c r="D98" s="12" t="inlineStr">
        <is>
          <t>• 5.27 · Aprendizaje de los incidentes
• NIST RS.AN-03 · Análisis de causa raíz</t>
        </is>
      </c>
      <c r="E98" s="33">
        <f>IFERROR(AVERAGE('Controles marcos'!$E$28,'Controles marcos'!$E$128),"")</f>
        <v/>
      </c>
      <c r="F98" s="9" t="n"/>
      <c r="G98" s="9" t="n"/>
      <c r="H98" s="9" t="n"/>
      <c r="I98" s="9" t="n"/>
      <c r="J98" s="12" t="inlineStr">
        <is>
          <t>Obligatorio Ley 21.719</t>
        </is>
      </c>
      <c r="K98" s="34" t="inlineStr">
        <is>
          <t>Sí</t>
        </is>
      </c>
      <c r="L98" s="23">
        <f>IF(AND(K98="Sí",ISNUMBER(E98)),E98,"")</f>
        <v/>
      </c>
    </row>
    <row r="99" ht="75" customHeight="1">
      <c r="A99" s="12" t="inlineStr">
        <is>
          <t>D9</t>
        </is>
      </c>
      <c r="B99" s="12" t="inlineStr">
        <is>
          <t>9.8</t>
        </is>
      </c>
      <c r="C99" s="12" t="inlineStr">
        <is>
          <t>Existe un plan de continuidad y recuperación ante desastres con RTO y RPO definidos y probados. Verificar: plan, RTO y RPO por sistema y resultado de la última prueba.</t>
        </is>
      </c>
      <c r="D99" s="12" t="inlineStr">
        <is>
          <t>• 5.29 · Seguridad de la información durante disrupción
• 5.30 · Preparación TIC para continuidad
• 8.14 · Redundancia de instalaciones de procesamiento</t>
        </is>
      </c>
      <c r="E99" s="33">
        <f>IFERROR(AVERAGE('Controles marcos'!$E$30,'Controles marcos'!$E$31,'Controles marcos'!$E$74),"")</f>
        <v/>
      </c>
      <c r="F99" s="9" t="n"/>
      <c r="G99" s="9" t="n"/>
      <c r="H99" s="9" t="n"/>
      <c r="I99" s="9" t="n"/>
      <c r="J99" s="12" t="inlineStr">
        <is>
          <t>Obligatorio Ley 21.719</t>
        </is>
      </c>
      <c r="K99" s="34" t="inlineStr">
        <is>
          <t>Sí</t>
        </is>
      </c>
      <c r="L99" s="23">
        <f>IF(AND(K99="Sí",ISNUMBER(E99)),E99,"")</f>
        <v/>
      </c>
    </row>
    <row r="100" ht="75" customHeight="1">
      <c r="A100" s="12" t="inlineStr">
        <is>
          <t>D9</t>
        </is>
      </c>
      <c r="B100" s="12" t="inlineStr">
        <is>
          <t>9.9</t>
        </is>
      </c>
      <c r="C100" s="12" t="inlineStr">
        <is>
          <t>Los incidentes se clasifican, priorizan y escalan con criterios escritos. Verificar: matriz de severidad y reglas de escalamiento.</t>
        </is>
      </c>
      <c r="D100" s="12" t="inlineStr">
        <is>
          <t>• NIST RS.MA-02 · Reportes de incidentes clasificados y validados
• NIST RS.MA-03 · Incidentes categorizados y priorizados
• NIST RS.MA-04 · Escalamiento de incidentes
• NIST RS.MA-05 · Criterios para iniciar la recuperación</t>
        </is>
      </c>
      <c r="E100" s="33">
        <f>IFERROR(AVERAGE('Controles marcos'!$E$124,'Controles marcos'!$E$125,'Controles marcos'!$E$126,'Controles marcos'!$E$127),"")</f>
        <v/>
      </c>
      <c r="F100" s="9" t="n"/>
      <c r="G100" s="9" t="n"/>
      <c r="H100" s="9" t="n"/>
      <c r="I100" s="9" t="n"/>
      <c r="J100" s="12" t="inlineStr">
        <is>
          <t>Obligatorio Ley 21.719</t>
        </is>
      </c>
      <c r="K100" s="34" t="inlineStr">
        <is>
          <t>Sí</t>
        </is>
      </c>
      <c r="L100" s="23">
        <f>IF(AND(K100="Sí",ISNUMBER(E100)),E100,"")</f>
        <v/>
      </c>
    </row>
    <row r="101" ht="75" customHeight="1">
      <c r="A101" s="12" t="inlineStr">
        <is>
          <t>D9</t>
        </is>
      </c>
      <c r="B101" s="12" t="inlineStr">
        <is>
          <t>9.10</t>
        </is>
      </c>
      <c r="C101" s="12" t="inlineStr">
        <is>
          <t>Se estima la magnitud de cada incidente (datos y personas afectadas) y se recolecta la evidencia. Verificar: plantilla de evaluación y de evidencia.</t>
        </is>
      </c>
      <c r="D101" s="12" t="inlineStr">
        <is>
          <t>• NIST RS.AN-08 · Estimación de la magnitud del incidente
• 5.28 · Recolección de evidencia</t>
        </is>
      </c>
      <c r="E101" s="33">
        <f>IFERROR(AVERAGE('Controles marcos'!$E$131,'Controles marcos'!$E$29),"")</f>
        <v/>
      </c>
      <c r="F101" s="9" t="n"/>
      <c r="G101" s="9" t="n"/>
      <c r="H101" s="9" t="n"/>
      <c r="I101" s="9" t="n"/>
      <c r="J101" s="12" t="inlineStr">
        <is>
          <t>Obligatorio Ley 21.719</t>
        </is>
      </c>
      <c r="K101" s="34" t="inlineStr">
        <is>
          <t>Sí</t>
        </is>
      </c>
      <c r="L101" s="23">
        <f>IF(AND(K101="Sí",ISNUMBER(E101)),E101,"")</f>
        <v/>
      </c>
    </row>
    <row r="102" ht="75" customHeight="1">
      <c r="A102" s="12" t="inlineStr">
        <is>
          <t>D9</t>
        </is>
      </c>
      <c r="B102" s="12" t="inlineStr">
        <is>
          <t>9.11</t>
        </is>
      </c>
      <c r="C102" s="12" t="inlineStr">
        <is>
          <t>Cadena de custodia documentada para la evidencia de incidentes.</t>
        </is>
      </c>
      <c r="D102" s="12" t="inlineStr">
        <is>
          <t>• 5.28 · Recolección de evidencia</t>
        </is>
      </c>
      <c r="E102" s="33">
        <f>IFERROR(AVERAGE('Controles marcos'!$E$29),"")</f>
        <v/>
      </c>
      <c r="F102" s="9" t="n"/>
      <c r="G102" s="9" t="n"/>
      <c r="H102" s="9" t="n"/>
      <c r="I102" s="9" t="n"/>
      <c r="J102" s="12" t="inlineStr">
        <is>
          <t>Extra (marco o buena práctica)</t>
        </is>
      </c>
      <c r="K102" s="34" t="inlineStr">
        <is>
          <t>No</t>
        </is>
      </c>
      <c r="L102" s="23">
        <f>IF(AND(K102="Sí",ISNUMBER(E102)),E102,"")</f>
        <v/>
      </c>
    </row>
    <row r="103" ht="75" customHeight="1">
      <c r="A103" s="12" t="inlineStr">
        <is>
          <t>D9</t>
        </is>
      </c>
      <c r="B103" s="12" t="inlineStr">
        <is>
          <t>9.12</t>
        </is>
      </c>
      <c r="C103" s="12" t="inlineStr">
        <is>
          <t>Seguro de ciberseguridad revisado en relación con las obligaciones de notificación.</t>
        </is>
      </c>
      <c r="D103" s="12" t="inlineStr">
        <is>
          <t>• 5.31 · Requisitos legales, estatutarios y contractuales</t>
        </is>
      </c>
      <c r="E103" s="33">
        <f>IFERROR(AVERAGE('Controles marcos'!$E$32),"")</f>
        <v/>
      </c>
      <c r="F103" s="9" t="n"/>
      <c r="G103" s="9" t="n"/>
      <c r="H103" s="9" t="n"/>
      <c r="I103" s="9" t="n"/>
      <c r="J103" s="12" t="inlineStr">
        <is>
          <t>Extra (marco o buena práctica)</t>
        </is>
      </c>
      <c r="K103" s="34" t="inlineStr">
        <is>
          <t>No</t>
        </is>
      </c>
      <c r="L103" s="23">
        <f>IF(AND(K103="Sí",ISNUMBER(E103)),E103,"")</f>
        <v/>
      </c>
    </row>
    <row r="104" ht="75" customHeight="1">
      <c r="A104" s="12" t="inlineStr">
        <is>
          <t>D10</t>
        </is>
      </c>
      <c r="B104" s="12" t="inlineStr">
        <is>
          <t>10.1</t>
        </is>
      </c>
      <c r="C104" s="12" t="inlineStr">
        <is>
          <t>Existe un inventario de los proveedores que tratan datos personales por cuenta de la organización. Verificar: listado con tipo de datos tratados.</t>
        </is>
      </c>
      <c r="D104" s="12" t="inlineStr">
        <is>
          <t>• 5.19 · Seguridad en relaciones con proveedores</t>
        </is>
      </c>
      <c r="E104" s="33">
        <f>IFERROR(AVERAGE('Controles marcos'!$E$20),"")</f>
        <v/>
      </c>
      <c r="F104" s="9" t="n"/>
      <c r="G104" s="9" t="n"/>
      <c r="H104" s="9" t="n"/>
      <c r="I104" s="9" t="n"/>
      <c r="J104" s="12" t="inlineStr">
        <is>
          <t>Obligatorio Ley 21.719</t>
        </is>
      </c>
      <c r="K104" s="34" t="inlineStr">
        <is>
          <t>Sí</t>
        </is>
      </c>
      <c r="L104" s="23">
        <f>IF(AND(K104="Sí",ISNUMBER(E104)),E104,"")</f>
        <v/>
      </c>
    </row>
    <row r="105" ht="75" customHeight="1">
      <c r="A105" s="12" t="inlineStr">
        <is>
          <t>D10</t>
        </is>
      </c>
      <c r="B105" s="12" t="inlineStr">
        <is>
          <t>10.2</t>
        </is>
      </c>
      <c r="C105" s="12" t="inlineStr">
        <is>
          <t>Los contratos con proveedores que tratan datos incluyen las cláusulas exigidas: objeto, duración, obligaciones, subencargo y eliminación al término. Verificar: muestra de contratos.</t>
        </is>
      </c>
      <c r="D105" s="12" t="inlineStr">
        <is>
          <t>• 5.20 · Seguridad en contratos con proveedores</t>
        </is>
      </c>
      <c r="E105" s="33">
        <f>IFERROR(AVERAGE('Controles marcos'!$E$21),"")</f>
        <v/>
      </c>
      <c r="F105" s="9" t="n"/>
      <c r="G105" s="9" t="n"/>
      <c r="H105" s="9" t="n"/>
      <c r="I105" s="9" t="n"/>
      <c r="J105" s="12" t="inlineStr">
        <is>
          <t>Obligatorio Ley 21.719</t>
        </is>
      </c>
      <c r="K105" s="34" t="inlineStr">
        <is>
          <t>Sí</t>
        </is>
      </c>
      <c r="L105" s="23">
        <f>IF(AND(K105="Sí",ISNUMBER(E105)),E105,"")</f>
        <v/>
      </c>
    </row>
    <row r="106" ht="75" customHeight="1">
      <c r="A106" s="12" t="inlineStr">
        <is>
          <t>D10</t>
        </is>
      </c>
      <c r="B106" s="12" t="inlineStr">
        <is>
          <t>10.3</t>
        </is>
      </c>
      <c r="C106" s="12" t="inlineStr">
        <is>
          <t>Los proveedores se evalúan en seguridad y privacidad antes de contratar y periódicamente. Verificar: cuestionario de evaluación y fecha.</t>
        </is>
      </c>
      <c r="D106" s="12" t="inlineStr">
        <is>
          <t>• 5.21 · Gestión de seguridad en cadena TIC
• 5.22 · Monitoreo de proveedores</t>
        </is>
      </c>
      <c r="E106" s="33">
        <f>IFERROR(AVERAGE('Controles marcos'!$E$22,'Controles marcos'!$E$23),"")</f>
        <v/>
      </c>
      <c r="F106" s="9" t="n"/>
      <c r="G106" s="9" t="n"/>
      <c r="H106" s="9" t="n"/>
      <c r="I106" s="9" t="n"/>
      <c r="J106" s="12" t="inlineStr">
        <is>
          <t>Obligatorio Ley 21.719</t>
        </is>
      </c>
      <c r="K106" s="34" t="inlineStr">
        <is>
          <t>Sí</t>
        </is>
      </c>
      <c r="L106" s="23">
        <f>IF(AND(K106="Sí",ISNUMBER(E106)),E106,"")</f>
        <v/>
      </c>
    </row>
    <row r="107" ht="75" customHeight="1">
      <c r="A107" s="12" t="inlineStr">
        <is>
          <t>D10</t>
        </is>
      </c>
      <c r="B107" s="12" t="inlineStr">
        <is>
          <t>10.4</t>
        </is>
      </c>
      <c r="C107" s="12" t="inlineStr">
        <is>
          <t>Los contratos permiten auditar al proveedor. Verificar: cláusula de auditoría en contratos.</t>
        </is>
      </c>
      <c r="D107" s="12" t="inlineStr">
        <is>
          <t>• 5.20 · Seguridad en contratos con proveedores</t>
        </is>
      </c>
      <c r="E107" s="33">
        <f>IFERROR(AVERAGE('Controles marcos'!$E$21),"")</f>
        <v/>
      </c>
      <c r="F107" s="9" t="n"/>
      <c r="G107" s="9" t="n"/>
      <c r="H107" s="9" t="n"/>
      <c r="I107" s="9" t="n"/>
      <c r="J107" s="12" t="inlineStr">
        <is>
          <t>Obligatorio Ley 21.719</t>
        </is>
      </c>
      <c r="K107" s="34" t="inlineStr">
        <is>
          <t>Sí</t>
        </is>
      </c>
      <c r="L107" s="23">
        <f>IF(AND(K107="Sí",ISNUMBER(E107)),E107,"")</f>
        <v/>
      </c>
    </row>
    <row r="108" ht="75" customHeight="1">
      <c r="A108" s="12" t="inlineStr">
        <is>
          <t>D10</t>
        </is>
      </c>
      <c r="B108" s="12" t="inlineStr">
        <is>
          <t>10.5</t>
        </is>
      </c>
      <c r="C108" s="12" t="inlineStr">
        <is>
          <t>Las transferencias de datos fuera de Chile solo se hacen a países con nivel adecuado o con garantías contractuales. Verificar: hoja Transferencias completa (indicador automático).</t>
        </is>
      </c>
      <c r="D108" s="12" t="inlineStr">
        <is>
          <t>• Indicador automático: transferencias con garantía (hoja Transferencias)
• 5.14 · Transferencia de información</t>
        </is>
      </c>
      <c r="E108" s="33">
        <f>IFERROR(AVERAGE(Resumen!$C$6,'Controles marcos'!$E$15),"")</f>
        <v/>
      </c>
      <c r="F108" s="9" t="n"/>
      <c r="G108" s="9" t="n"/>
      <c r="H108" s="9" t="n"/>
      <c r="I108" s="9" t="n"/>
      <c r="J108" s="12" t="inlineStr">
        <is>
          <t>Obligatorio Ley 21.719</t>
        </is>
      </c>
      <c r="K108" s="34" t="inlineStr">
        <is>
          <t>Sí</t>
        </is>
      </c>
      <c r="L108" s="23">
        <f>IF(AND(K108="Sí",ISNUMBER(E108)),E108,"")</f>
        <v/>
      </c>
    </row>
    <row r="109" ht="75" customHeight="1">
      <c r="A109" s="12" t="inlineStr">
        <is>
          <t>D10</t>
        </is>
      </c>
      <c r="B109" s="12" t="inlineStr">
        <is>
          <t>10.6</t>
        </is>
      </c>
      <c r="C109" s="12" t="inlineStr">
        <is>
          <t>Los terceros que acceden a información firman acuerdos de confidencialidad. Verificar: acuerdos firmados.</t>
        </is>
      </c>
      <c r="D109" s="12" t="inlineStr">
        <is>
          <t>• 6.6 · Acuerdos de confidencialidad</t>
        </is>
      </c>
      <c r="E109" s="33">
        <f>IFERROR(AVERAGE('Controles marcos'!$E$44),"")</f>
        <v/>
      </c>
      <c r="F109" s="9" t="n"/>
      <c r="G109" s="9" t="n"/>
      <c r="H109" s="9" t="n"/>
      <c r="I109" s="9" t="n"/>
      <c r="J109" s="12" t="inlineStr">
        <is>
          <t>Obligatorio Ley 21.719</t>
        </is>
      </c>
      <c r="K109" s="34" t="inlineStr">
        <is>
          <t>Sí</t>
        </is>
      </c>
      <c r="L109" s="23">
        <f>IF(AND(K109="Sí",ISNUMBER(E109)),E109,"")</f>
        <v/>
      </c>
    </row>
    <row r="110" ht="75" customHeight="1">
      <c r="A110" s="12" t="inlineStr">
        <is>
          <t>D10</t>
        </is>
      </c>
      <c r="B110" s="12" t="inlineStr">
        <is>
          <t>10.7</t>
        </is>
      </c>
      <c r="C110" s="12" t="inlineStr">
        <is>
          <t>Los servicios en la nube se evalúan y se gestionan con criterios de seguridad y privacidad. Verificar: inventario de servicios cloud y su evaluación.</t>
        </is>
      </c>
      <c r="D110" s="12" t="inlineStr">
        <is>
          <t>• 5.23 · SI en servicios en la nube</t>
        </is>
      </c>
      <c r="E110" s="33">
        <f>IFERROR(AVERAGE('Controles marcos'!$E$24),"")</f>
        <v/>
      </c>
      <c r="F110" s="9" t="n"/>
      <c r="G110" s="9" t="n"/>
      <c r="H110" s="9" t="n"/>
      <c r="I110" s="9" t="n"/>
      <c r="J110" s="12" t="inlineStr">
        <is>
          <t>Obligatorio Ley 21.719</t>
        </is>
      </c>
      <c r="K110" s="34" t="inlineStr">
        <is>
          <t>Sí</t>
        </is>
      </c>
      <c r="L110" s="23">
        <f>IF(AND(K110="Sí",ISNUMBER(E110)),E110,"")</f>
        <v/>
      </c>
    </row>
    <row r="111" ht="75" customHeight="1">
      <c r="A111" s="12" t="inlineStr">
        <is>
          <t>D10</t>
        </is>
      </c>
      <c r="B111" s="12" t="inlineStr">
        <is>
          <t>10.8</t>
        </is>
      </c>
      <c r="C111" s="12" t="inlineStr">
        <is>
          <t>Los sub-encargados (proveedores de tus proveedores) están identificados y autorizados por contrato. Verificar: lista de sub-encargados por proveedor.</t>
        </is>
      </c>
      <c r="D111" s="12" t="inlineStr">
        <is>
          <t>• 5.20 · Seguridad en contratos con proveedores
• 5.21 · Gestión de seguridad en cadena TIC</t>
        </is>
      </c>
      <c r="E111" s="33">
        <f>IFERROR(AVERAGE('Controles marcos'!$E$21,'Controles marcos'!$E$22),"")</f>
        <v/>
      </c>
      <c r="F111" s="9" t="n"/>
      <c r="G111" s="9" t="n"/>
      <c r="H111" s="9" t="n"/>
      <c r="I111" s="9" t="n"/>
      <c r="J111" s="12" t="inlineStr">
        <is>
          <t>Obligatorio Ley 21.719</t>
        </is>
      </c>
      <c r="K111" s="34" t="inlineStr">
        <is>
          <t>Sí</t>
        </is>
      </c>
      <c r="L111" s="23">
        <f>IF(AND(K111="Sí",ISNUMBER(E111)),E111,"")</f>
        <v/>
      </c>
    </row>
    <row r="112" ht="75" customHeight="1">
      <c r="A112" s="12" t="inlineStr">
        <is>
          <t>D10</t>
        </is>
      </c>
      <c r="B112" s="12" t="inlineStr">
        <is>
          <t>10.9</t>
        </is>
      </c>
      <c r="C112" s="12" t="inlineStr">
        <is>
          <t>Al terminar un contrato, el proveedor devuelve o elimina los datos y entrega certificado. Verificar: cláusula y ejemplo de cierre de contrato.</t>
        </is>
      </c>
      <c r="D112" s="12" t="inlineStr">
        <is>
          <t>• 5.20 · Seguridad en contratos con proveedores
• 8.10 · Eliminación de información</t>
        </is>
      </c>
      <c r="E112" s="33">
        <f>IFERROR(AVERAGE('Controles marcos'!$E$21,'Controles marcos'!$E$70),"")</f>
        <v/>
      </c>
      <c r="F112" s="9" t="n"/>
      <c r="G112" s="9" t="n"/>
      <c r="H112" s="9" t="n"/>
      <c r="I112" s="9" t="n"/>
      <c r="J112" s="12" t="inlineStr">
        <is>
          <t>Obligatorio Ley 21.719</t>
        </is>
      </c>
      <c r="K112" s="34" t="inlineStr">
        <is>
          <t>Sí</t>
        </is>
      </c>
      <c r="L112" s="23">
        <f>IF(AND(K112="Sí",ISNUMBER(E112)),E112,"")</f>
        <v/>
      </c>
    </row>
    <row r="113" ht="75" customHeight="1">
      <c r="A113" s="12" t="inlineStr">
        <is>
          <t>D10</t>
        </is>
      </c>
      <c r="B113" s="12" t="inlineStr">
        <is>
          <t>10.10</t>
        </is>
      </c>
      <c r="C113" s="12" t="inlineStr">
        <is>
          <t>Cláusulas tipo de transferencia internacional revisadas al menos una vez al año para proveedores de marketing y nube.</t>
        </is>
      </c>
      <c r="D113" s="12" t="inlineStr">
        <is>
          <t>• 5.14 · Transferencia de información
• 5.20 · Seguridad en contratos con proveedores</t>
        </is>
      </c>
      <c r="E113" s="33">
        <f>IFERROR(AVERAGE('Controles marcos'!$E$15,'Controles marcos'!$E$21),"")</f>
        <v/>
      </c>
      <c r="F113" s="9" t="n"/>
      <c r="G113" s="9" t="n"/>
      <c r="H113" s="9" t="n"/>
      <c r="I113" s="9" t="n"/>
      <c r="J113" s="12" t="inlineStr">
        <is>
          <t>Extra (marco o buena práctica)</t>
        </is>
      </c>
      <c r="K113" s="34" t="inlineStr">
        <is>
          <t>No</t>
        </is>
      </c>
      <c r="L113" s="23">
        <f>IF(AND(K113="Sí",ISNUMBER(E113)),E113,"")</f>
        <v/>
      </c>
    </row>
    <row r="114" ht="75" customHeight="1">
      <c r="A114" s="12" t="inlineStr">
        <is>
          <t>D11</t>
        </is>
      </c>
      <c r="B114" s="12" t="inlineStr">
        <is>
          <t>11.1</t>
        </is>
      </c>
      <c r="C114" s="12" t="inlineStr">
        <is>
          <t>Todo el personal recibe capacitación en protección de datos al ingresar y al menos una vez al año. Verificar: registro de asistencia y porcentaje de cumplimiento.</t>
        </is>
      </c>
      <c r="D114" s="12" t="inlineStr">
        <is>
          <t>• 6.3 · Concientización, educación y capacitación en SI</t>
        </is>
      </c>
      <c r="E114" s="33">
        <f>IFERROR(AVERAGE('Controles marcos'!$E$41),"")</f>
        <v/>
      </c>
      <c r="F114" s="9" t="n"/>
      <c r="G114" s="9" t="n"/>
      <c r="H114" s="9" t="n"/>
      <c r="I114" s="9" t="n"/>
      <c r="J114" s="12" t="inlineStr">
        <is>
          <t>Obligatorio Ley 21.719</t>
        </is>
      </c>
      <c r="K114" s="34" t="inlineStr">
        <is>
          <t>Sí</t>
        </is>
      </c>
      <c r="L114" s="23">
        <f>IF(AND(K114="Sí",ISNUMBER(E114)),E114,"")</f>
        <v/>
      </c>
    </row>
    <row r="115" ht="75" customHeight="1">
      <c r="A115" s="12" t="inlineStr">
        <is>
          <t>D11</t>
        </is>
      </c>
      <c r="B115" s="12" t="inlineStr">
        <is>
          <t>11.2</t>
        </is>
      </c>
      <c r="C115" s="12" t="inlineStr">
        <is>
          <t>La capacitación tiene contenidos según el rol (TI, ventas, RRHH, atención al cliente, dirección). Verificar: programa por rol.</t>
        </is>
      </c>
      <c r="D115" s="12" t="inlineStr">
        <is>
          <t>• 6.3 · Concientización, educación y capacitación en SI</t>
        </is>
      </c>
      <c r="E115" s="33">
        <f>IFERROR(AVERAGE('Controles marcos'!$E$41),"")</f>
        <v/>
      </c>
      <c r="F115" s="9" t="n"/>
      <c r="G115" s="9" t="n"/>
      <c r="H115" s="9" t="n"/>
      <c r="I115" s="9" t="n"/>
      <c r="J115" s="12" t="inlineStr">
        <is>
          <t>Obligatorio Ley 21.719</t>
        </is>
      </c>
      <c r="K115" s="34" t="inlineStr">
        <is>
          <t>Sí</t>
        </is>
      </c>
      <c r="L115" s="23">
        <f>IF(AND(K115="Sí",ISNUMBER(E115)),E115,"")</f>
        <v/>
      </c>
    </row>
    <row r="116" ht="75" customHeight="1">
      <c r="A116" s="12" t="inlineStr">
        <is>
          <t>D11</t>
        </is>
      </c>
      <c r="B116" s="12" t="inlineStr">
        <is>
          <t>11.3</t>
        </is>
      </c>
      <c r="C116" s="12" t="inlineStr">
        <is>
          <t>Se realizan campañas de concienciación y simulacros de phishing con métricas. Verificar: resultados del último simulacro.</t>
        </is>
      </c>
      <c r="D116" s="12" t="inlineStr">
        <is>
          <t>• 6.3 · Concientización, educación y capacitación en SI
• 6.8 · Reporte de eventos de SI</t>
        </is>
      </c>
      <c r="E116" s="33">
        <f>IFERROR(AVERAGE('Controles marcos'!$E$41,'Controles marcos'!$E$46),"")</f>
        <v/>
      </c>
      <c r="F116" s="9" t="n"/>
      <c r="G116" s="9" t="n"/>
      <c r="H116" s="9" t="n"/>
      <c r="I116" s="9" t="n"/>
      <c r="J116" s="12" t="inlineStr">
        <is>
          <t>Obligatorio Ley 21.719</t>
        </is>
      </c>
      <c r="K116" s="34" t="inlineStr">
        <is>
          <t>Sí</t>
        </is>
      </c>
      <c r="L116" s="23">
        <f>IF(AND(K116="Sí",ISNUMBER(E116)),E116,"")</f>
        <v/>
      </c>
    </row>
    <row r="117" ht="75" customHeight="1">
      <c r="A117" s="12" t="inlineStr">
        <is>
          <t>D11</t>
        </is>
      </c>
      <c r="B117" s="12" t="inlineStr">
        <is>
          <t>11.4</t>
        </is>
      </c>
      <c r="C117" s="12" t="inlineStr">
        <is>
          <t>Todo el personal y los contratistas firman compromisos de confidencialidad. Verificar: firmas en expedientes o contratos.</t>
        </is>
      </c>
      <c r="D117" s="12" t="inlineStr">
        <is>
          <t>• 6.6 · Acuerdos de confidencialidad</t>
        </is>
      </c>
      <c r="E117" s="33">
        <f>IFERROR(AVERAGE('Controles marcos'!$E$44),"")</f>
        <v/>
      </c>
      <c r="F117" s="9" t="n"/>
      <c r="G117" s="9" t="n"/>
      <c r="H117" s="9" t="n"/>
      <c r="I117" s="9" t="n"/>
      <c r="J117" s="12" t="inlineStr">
        <is>
          <t>Obligatorio Ley 21.719</t>
        </is>
      </c>
      <c r="K117" s="34" t="inlineStr">
        <is>
          <t>Sí</t>
        </is>
      </c>
      <c r="L117" s="23">
        <f>IF(AND(K117="Sí",ISNUMBER(E117)),E117,"")</f>
        <v/>
      </c>
    </row>
    <row r="118" ht="75" customHeight="1">
      <c r="A118" s="12" t="inlineStr">
        <is>
          <t>D11</t>
        </is>
      </c>
      <c r="B118" s="12" t="inlineStr">
        <is>
          <t>11.5</t>
        </is>
      </c>
      <c r="C118" s="12" t="inlineStr">
        <is>
          <t>El proceso de selección y los contratos de trabajo incluyen cláusulas de privacidad. Verificar: contrato tipo con la cláusula.</t>
        </is>
      </c>
      <c r="D118" s="12" t="inlineStr">
        <is>
          <t>• 6.1 · Selección de personal
• 6.2 · Términos y condiciones de empleo</t>
        </is>
      </c>
      <c r="E118" s="33">
        <f>IFERROR(AVERAGE('Controles marcos'!$E$39,'Controles marcos'!$E$40),"")</f>
        <v/>
      </c>
      <c r="F118" s="9" t="n"/>
      <c r="G118" s="9" t="n"/>
      <c r="H118" s="9" t="n"/>
      <c r="I118" s="9" t="n"/>
      <c r="J118" s="12" t="inlineStr">
        <is>
          <t>Obligatorio Ley 21.719</t>
        </is>
      </c>
      <c r="K118" s="34" t="inlineStr">
        <is>
          <t>Sí</t>
        </is>
      </c>
      <c r="L118" s="23">
        <f>IF(AND(K118="Sí",ISNUMBER(E118)),E118,"")</f>
        <v/>
      </c>
    </row>
    <row r="119" ht="75" customHeight="1">
      <c r="A119" s="12" t="inlineStr">
        <is>
          <t>D11</t>
        </is>
      </c>
      <c r="B119" s="12" t="inlineStr">
        <is>
          <t>11.6</t>
        </is>
      </c>
      <c r="C119" s="12" t="inlineStr">
        <is>
          <t>Existe un proceso disciplinario para quienes incumplen las políticas de datos. Verificar: reglamento interno y casos aplicados.</t>
        </is>
      </c>
      <c r="D119" s="12" t="inlineStr">
        <is>
          <t>• 6.4 · Proceso disciplinario</t>
        </is>
      </c>
      <c r="E119" s="33">
        <f>IFERROR(AVERAGE('Controles marcos'!$E$42),"")</f>
        <v/>
      </c>
      <c r="F119" s="9" t="n"/>
      <c r="G119" s="9" t="n"/>
      <c r="H119" s="9" t="n"/>
      <c r="I119" s="9" t="n"/>
      <c r="J119" s="12" t="inlineStr">
        <is>
          <t>Obligatorio Ley 21.719</t>
        </is>
      </c>
      <c r="K119" s="34" t="inlineStr">
        <is>
          <t>Sí</t>
        </is>
      </c>
      <c r="L119" s="23">
        <f>IF(AND(K119="Sí",ISNUMBER(E119)),E119,"")</f>
        <v/>
      </c>
    </row>
    <row r="120" ht="75" customHeight="1">
      <c r="A120" s="12" t="inlineStr">
        <is>
          <t>D11</t>
        </is>
      </c>
      <c r="B120" s="12" t="inlineStr">
        <is>
          <t>11.7</t>
        </is>
      </c>
      <c r="C120" s="12" t="inlineStr">
        <is>
          <t>Al terminar o cambiar de cargo, se revocan accesos y se devuelven activos con registro. Verificar: checklist de salida de los últimos casos.</t>
        </is>
      </c>
      <c r="D120" s="12" t="inlineStr">
        <is>
          <t>• 6.5 · Responsabilidades ante terminación o cambio de empleo
• 5.11 · Devolución de activos</t>
        </is>
      </c>
      <c r="E120" s="33">
        <f>IFERROR(AVERAGE('Controles marcos'!$E$43,'Controles marcos'!$E$12),"")</f>
        <v/>
      </c>
      <c r="F120" s="9" t="n"/>
      <c r="G120" s="9" t="n"/>
      <c r="H120" s="9" t="n"/>
      <c r="I120" s="9" t="n"/>
      <c r="J120" s="12" t="inlineStr">
        <is>
          <t>Obligatorio Ley 21.719</t>
        </is>
      </c>
      <c r="K120" s="34" t="inlineStr">
        <is>
          <t>Sí</t>
        </is>
      </c>
      <c r="L120" s="23">
        <f>IF(AND(K120="Sí",ISNUMBER(E120)),E120,"")</f>
        <v/>
      </c>
    </row>
    <row r="121" ht="75" customHeight="1">
      <c r="A121" s="12" t="inlineStr">
        <is>
          <t>D11</t>
        </is>
      </c>
      <c r="B121" s="12" t="inlineStr">
        <is>
          <t>11.8</t>
        </is>
      </c>
      <c r="C121" s="12" t="inlineStr">
        <is>
          <t>El trabajo remoto y el uso aceptable de la información tienen reglas escritas. Verificar: política de trabajo remoto.</t>
        </is>
      </c>
      <c r="D121" s="12" t="inlineStr">
        <is>
          <t>• 6.7 · Trabajo remoto
• 5.10 · Uso aceptable de información</t>
        </is>
      </c>
      <c r="E121" s="33">
        <f>IFERROR(AVERAGE('Controles marcos'!$E$45,'Controles marcos'!$E$11),"")</f>
        <v/>
      </c>
      <c r="F121" s="9" t="n"/>
      <c r="G121" s="9" t="n"/>
      <c r="H121" s="9" t="n"/>
      <c r="I121" s="9" t="n"/>
      <c r="J121" s="12" t="inlineStr">
        <is>
          <t>Obligatorio Ley 21.719</t>
        </is>
      </c>
      <c r="K121" s="34" t="inlineStr">
        <is>
          <t>Sí</t>
        </is>
      </c>
      <c r="L121" s="23">
        <f>IF(AND(K121="Sí",ISNUMBER(E121)),E121,"")</f>
        <v/>
      </c>
    </row>
    <row r="122" ht="75" customHeight="1">
      <c r="A122" s="12" t="inlineStr">
        <is>
          <t>D11</t>
        </is>
      </c>
      <c r="B122" s="12" t="inlineStr">
        <is>
          <t>11.9</t>
        </is>
      </c>
      <c r="C122" s="12" t="inlineStr">
        <is>
          <t>La contratación, evaluación y salida de personal incluyen requisitos de ciberseguridad y privacidad. Verificar: procesos de RRHH con esos requisitos.</t>
        </is>
      </c>
      <c r="D122" s="12" t="inlineStr">
        <is>
          <t>• NIST GV.RR-04 · Ciberseguridad incluida en RRHH</t>
        </is>
      </c>
      <c r="E122" s="33">
        <f>IFERROR(AVERAGE('Controles marcos'!$E$103),"")</f>
        <v/>
      </c>
      <c r="F122" s="9" t="n"/>
      <c r="G122" s="9" t="n"/>
      <c r="H122" s="9" t="n"/>
      <c r="I122" s="9" t="n"/>
      <c r="J122" s="12" t="inlineStr">
        <is>
          <t>Obligatorio Ley 21.719</t>
        </is>
      </c>
      <c r="K122" s="34" t="inlineStr">
        <is>
          <t>Sí</t>
        </is>
      </c>
      <c r="L122" s="23">
        <f>IF(AND(K122="Sí",ISNUMBER(E122)),E122,"")</f>
        <v/>
      </c>
    </row>
    <row r="123" ht="75" customHeight="1">
      <c r="A123" s="12" t="inlineStr">
        <is>
          <t>D11</t>
        </is>
      </c>
      <c r="B123" s="12" t="inlineStr">
        <is>
          <t>11.10</t>
        </is>
      </c>
      <c r="C123" s="12" t="inlineStr">
        <is>
          <t>Existen filtros de correo, MFA y simulacros de phishing con métricas. Verificar: herramientas usadas y resultados.</t>
        </is>
      </c>
      <c r="D123" s="12" t="inlineStr">
        <is>
          <t>• CIS 9 · Protección de correo y navegador
• 6.3 · Concientización, educación y capacitación en SI
• 6.8 · Reporte de eventos de SI</t>
        </is>
      </c>
      <c r="E123" s="33">
        <f>IFERROR(AVERAGE('Controles marcos'!$E$143,'Controles marcos'!$E$41,'Controles marcos'!$E$46),"")</f>
        <v/>
      </c>
      <c r="F123" s="9" t="n"/>
      <c r="G123" s="9" t="n"/>
      <c r="H123" s="9" t="n"/>
      <c r="I123" s="9" t="n"/>
      <c r="J123" s="12" t="inlineStr">
        <is>
          <t>Extra (marco o buena práctica)</t>
        </is>
      </c>
      <c r="K123" s="34" t="inlineStr">
        <is>
          <t>No</t>
        </is>
      </c>
      <c r="L123" s="23">
        <f>IF(AND(K123="Sí",ISNUMBER(E123)),E123,"")</f>
        <v/>
      </c>
    </row>
    <row r="124" ht="75" customHeight="1">
      <c r="A124" s="12" t="inlineStr">
        <is>
          <t>D12</t>
        </is>
      </c>
      <c r="B124" s="12" t="inlineStr">
        <is>
          <t>12.1</t>
        </is>
      </c>
      <c r="C124" s="12" t="inlineStr">
        <is>
          <t>Existe un plan anual de auditoría interna de cumplimiento aprobado. Verificar: plan aprobado y fecha.</t>
        </is>
      </c>
      <c r="D124" s="12" t="inlineStr">
        <is>
          <t>• 5.35 · Revisión independiente de SI</t>
        </is>
      </c>
      <c r="E124" s="33">
        <f>IFERROR(AVERAGE('Controles marcos'!$E$36),"")</f>
        <v/>
      </c>
      <c r="F124" s="9" t="n"/>
      <c r="G124" s="9" t="n"/>
      <c r="H124" s="9" t="n"/>
      <c r="I124" s="9" t="n"/>
      <c r="J124" s="12" t="inlineStr">
        <is>
          <t>Obligatorio Ley 21.719</t>
        </is>
      </c>
      <c r="K124" s="34" t="inlineStr">
        <is>
          <t>Sí</t>
        </is>
      </c>
      <c r="L124" s="23">
        <f>IF(AND(K124="Sí",ISNUMBER(E124)),E124,"")</f>
        <v/>
      </c>
    </row>
    <row r="125" ht="75" customHeight="1">
      <c r="A125" s="12" t="inlineStr">
        <is>
          <t>D12</t>
        </is>
      </c>
      <c r="B125" s="12" t="inlineStr">
        <is>
          <t>12.2</t>
        </is>
      </c>
      <c r="C125" s="12" t="inlineStr">
        <is>
          <t>Se miden y reportan a la dirección indicadores de privacidad: solicitudes ARCOP, incidentes, capacitación y EIPD. Verificar: último reporte a la dirección.</t>
        </is>
      </c>
      <c r="D125" s="12" t="inlineStr">
        <is>
          <t>• 5.4 · Responsabilidades de la dirección</t>
        </is>
      </c>
      <c r="E125" s="33">
        <f>IFERROR(AVERAGE('Controles marcos'!$E$5),"")</f>
        <v/>
      </c>
      <c r="F125" s="9" t="n"/>
      <c r="G125" s="9" t="n"/>
      <c r="H125" s="9" t="n"/>
      <c r="I125" s="9" t="n"/>
      <c r="J125" s="12" t="inlineStr">
        <is>
          <t>Obligatorio Ley 21.719</t>
        </is>
      </c>
      <c r="K125" s="34" t="inlineStr">
        <is>
          <t>Sí</t>
        </is>
      </c>
      <c r="L125" s="23">
        <f>IF(AND(K125="Sí",ISNUMBER(E125)),E125,"")</f>
        <v/>
      </c>
    </row>
    <row r="126" ht="75" customHeight="1">
      <c r="A126" s="12" t="inlineStr">
        <is>
          <t>D12</t>
        </is>
      </c>
      <c r="B126" s="12" t="inlineStr">
        <is>
          <t>12.3</t>
        </is>
      </c>
      <c r="C126" s="12" t="inlineStr">
        <is>
          <t>Los hallazgos de auditoría tienen plan de acción, responsable y plazo. Verificar: seguimiento de hallazgos abiertos.</t>
        </is>
      </c>
      <c r="D126" s="12" t="inlineStr">
        <is>
          <t>• 5.35 · Revisión independiente de SI
• 5.36 · Cumplimiento con políticas y normas de SI</t>
        </is>
      </c>
      <c r="E126" s="33">
        <f>IFERROR(AVERAGE('Controles marcos'!$E$36,'Controles marcos'!$E$37),"")</f>
        <v/>
      </c>
      <c r="F126" s="9" t="n"/>
      <c r="G126" s="9" t="n"/>
      <c r="H126" s="9" t="n"/>
      <c r="I126" s="9" t="n"/>
      <c r="J126" s="12" t="inlineStr">
        <is>
          <t>Obligatorio Ley 21.719</t>
        </is>
      </c>
      <c r="K126" s="34" t="inlineStr">
        <is>
          <t>Sí</t>
        </is>
      </c>
      <c r="L126" s="23">
        <f>IF(AND(K126="Sí",ISNUMBER(E126)),E126,"")</f>
        <v/>
      </c>
    </row>
    <row r="127" ht="75" customHeight="1">
      <c r="A127" s="12" t="inlineStr">
        <is>
          <t>D12</t>
        </is>
      </c>
      <c r="B127" s="12" t="inlineStr">
        <is>
          <t>12.4</t>
        </is>
      </c>
      <c r="C127" s="12" t="inlineStr">
        <is>
          <t>La política y el programa de cumplimiento se revisan al menos una vez al año. Verificar: fecha de última revisión.</t>
        </is>
      </c>
      <c r="D127" s="12" t="inlineStr">
        <is>
          <t>• 5.1 · Políticas de seguridad de la información</t>
        </is>
      </c>
      <c r="E127" s="33">
        <f>IFERROR(AVERAGE('Controles marcos'!$E$2),"")</f>
        <v/>
      </c>
      <c r="F127" s="9" t="n"/>
      <c r="G127" s="9" t="n"/>
      <c r="H127" s="9" t="n"/>
      <c r="I127" s="9" t="n"/>
      <c r="J127" s="12" t="inlineStr">
        <is>
          <t>Obligatorio Ley 21.719</t>
        </is>
      </c>
      <c r="K127" s="34" t="inlineStr">
        <is>
          <t>Sí</t>
        </is>
      </c>
      <c r="L127" s="23">
        <f>IF(AND(K127="Sí",ISNUMBER(E127)),E127,"")</f>
        <v/>
      </c>
    </row>
    <row r="128" ht="75" customHeight="1">
      <c r="A128" s="12" t="inlineStr">
        <is>
          <t>D12</t>
        </is>
      </c>
      <c r="B128" s="12" t="inlineStr">
        <is>
          <t>12.5</t>
        </is>
      </c>
      <c r="C128" s="12" t="inlineStr">
        <is>
          <t>Se monitorean cambios en leyes, reglamentos y criterios de la autoridad de control. Verificar: quién monitorea y cómo se comunica.</t>
        </is>
      </c>
      <c r="D128" s="12" t="inlineStr">
        <is>
          <t>• 5.31 · Requisitos legales, estatutarios y contractuales
• 5.7 · Inteligencia de amenazas</t>
        </is>
      </c>
      <c r="E128" s="33">
        <f>IFERROR(AVERAGE('Controles marcos'!$E$32,'Controles marcos'!$E$8),"")</f>
        <v/>
      </c>
      <c r="F128" s="9" t="n"/>
      <c r="G128" s="9" t="n"/>
      <c r="H128" s="9" t="n"/>
      <c r="I128" s="9" t="n"/>
      <c r="J128" s="12" t="inlineStr">
        <is>
          <t>Obligatorio Ley 21.719</t>
        </is>
      </c>
      <c r="K128" s="34" t="inlineStr">
        <is>
          <t>Sí</t>
        </is>
      </c>
      <c r="L128" s="23">
        <f>IF(AND(K128="Sí",ISNUMBER(E128)),E128,"")</f>
        <v/>
      </c>
    </row>
    <row r="129" ht="75" customHeight="1">
      <c r="A129" s="12" t="inlineStr">
        <is>
          <t>D12</t>
        </is>
      </c>
      <c r="B129" s="12" t="inlineStr">
        <is>
          <t>12.6</t>
        </is>
      </c>
      <c r="C129" s="12" t="inlineStr">
        <is>
          <t>Las auditorías se realizan sin afectar la operación ni los datos de producción. Verificar: procedimiento de auditoría.</t>
        </is>
      </c>
      <c r="D129" s="12" t="inlineStr">
        <is>
          <t>• 8.34 · Protección de sistemas de información en auditoría</t>
        </is>
      </c>
      <c r="E129" s="33">
        <f>IFERROR(AVERAGE('Controles marcos'!$E$94),"")</f>
        <v/>
      </c>
      <c r="F129" s="9" t="n"/>
      <c r="G129" s="9" t="n"/>
      <c r="H129" s="9" t="n"/>
      <c r="I129" s="9" t="n"/>
      <c r="J129" s="12" t="inlineStr">
        <is>
          <t>Obligatorio Ley 21.719</t>
        </is>
      </c>
      <c r="K129" s="34" t="inlineStr">
        <is>
          <t>Sí</t>
        </is>
      </c>
      <c r="L129" s="23">
        <f>IF(AND(K129="Sí",ISNUMBER(E129)),E129,"")</f>
        <v/>
      </c>
    </row>
    <row r="130" ht="75" customHeight="1">
      <c r="A130" s="12" t="inlineStr">
        <is>
          <t>D13</t>
        </is>
      </c>
      <c r="B130" s="12" t="inlineStr">
        <is>
          <t>13.1</t>
        </is>
      </c>
      <c r="C130" s="12" t="inlineStr">
        <is>
          <t>Las vulnerabilidades de los sistemas que tratan datos personales se identifican, validan y registran. Verificar: último escaneo y registro de hallazgos.</t>
        </is>
      </c>
      <c r="D130" s="12" t="inlineStr">
        <is>
          <t>• NIST ID.RA-01 · Identificación de vulnerabilidades</t>
        </is>
      </c>
      <c r="E130" s="33">
        <f>IFERROR(AVERAGE('Controles marcos'!$E$111),"")</f>
        <v/>
      </c>
      <c r="F130" s="9" t="n"/>
      <c r="G130" s="9" t="n"/>
      <c r="H130" s="9" t="n"/>
      <c r="I130" s="9" t="n"/>
      <c r="J130" s="12" t="inlineStr">
        <is>
          <t>Extra (marco o buena práctica)</t>
        </is>
      </c>
      <c r="K130" s="34" t="inlineStr">
        <is>
          <t>No</t>
        </is>
      </c>
      <c r="L130" s="23">
        <f>IF(AND(K130="Sí",ISNUMBER(E130)),E130,"")</f>
        <v/>
      </c>
    </row>
    <row r="131" ht="75" customHeight="1">
      <c r="A131" s="12" t="inlineStr">
        <is>
          <t>D13</t>
        </is>
      </c>
      <c r="B131" s="12" t="inlineStr">
        <is>
          <t>13.2</t>
        </is>
      </c>
      <c r="C131" s="12" t="inlineStr">
        <is>
          <t>Existe un canal y un proceso para recibir y responder reportes de vulnerabilidades de terceros. Verificar: canal publicado y responsable.</t>
        </is>
      </c>
      <c r="D131" s="12" t="inlineStr">
        <is>
          <t>• NIST ID.RA-08 · Recepción de divulgaciones de vulnerabilidades</t>
        </is>
      </c>
      <c r="E131" s="33">
        <f>IFERROR(AVERAGE('Controles marcos'!$E$112),"")</f>
        <v/>
      </c>
      <c r="F131" s="9" t="n"/>
      <c r="G131" s="9" t="n"/>
      <c r="H131" s="9" t="n"/>
      <c r="I131" s="9" t="n"/>
      <c r="J131" s="12" t="inlineStr">
        <is>
          <t>Extra (marco o buena práctica)</t>
        </is>
      </c>
      <c r="K131" s="34" t="inlineStr">
        <is>
          <t>No</t>
        </is>
      </c>
      <c r="L131" s="23">
        <f>IF(AND(K131="Sí",ISNUMBER(E131)),E131,"")</f>
        <v/>
      </c>
    </row>
    <row r="132" ht="75" customHeight="1">
      <c r="A132" s="12" t="inlineStr">
        <is>
          <t>D13</t>
        </is>
      </c>
      <c r="B132" s="12" t="inlineStr">
        <is>
          <t>13.3</t>
        </is>
      </c>
      <c r="C132" s="12" t="inlineStr">
        <is>
          <t>Los sistemas con datos personales tienen configuración segura documentada. Verificar: configuraciones base y su revisión.</t>
        </is>
      </c>
      <c r="D132" s="12" t="inlineStr">
        <is>
          <t>• NIST PR.PS-01 · Gestión de configuración segura
• CIS 4 · Configuración segura de activos y software</t>
        </is>
      </c>
      <c r="E132" s="33">
        <f>IFERROR(AVERAGE('Controles marcos'!$E$119,'Controles marcos'!$E$139),"")</f>
        <v/>
      </c>
      <c r="F132" s="9" t="n"/>
      <c r="G132" s="9" t="n"/>
      <c r="H132" s="9" t="n"/>
      <c r="I132" s="9" t="n"/>
      <c r="J132" s="12" t="inlineStr">
        <is>
          <t>Extra (marco o buena práctica)</t>
        </is>
      </c>
      <c r="K132" s="34" t="inlineStr">
        <is>
          <t>No</t>
        </is>
      </c>
      <c r="L132" s="23">
        <f>IF(AND(K132="Sí",ISNUMBER(E132)),E132,"")</f>
        <v/>
      </c>
    </row>
    <row r="133" ht="75" customHeight="1">
      <c r="A133" s="12" t="inlineStr">
        <is>
          <t>D13</t>
        </is>
      </c>
      <c r="B133" s="12" t="inlineStr">
        <is>
          <t>13.4</t>
        </is>
      </c>
      <c r="C133" s="12" t="inlineStr">
        <is>
          <t>El software y hardware sin soporte del fabricante se retiran o se aíslan si contienen datos personales. Verificar: inventario de equipos y software sin soporte.</t>
        </is>
      </c>
      <c r="D133" s="12" t="inlineStr">
        <is>
          <t>• NIST PR.PS-02 · Software mantenido o retirado según riesgo
• NIST PR.PS-03 · Hardware mantenido o retirado según riesgo</t>
        </is>
      </c>
      <c r="E133" s="33">
        <f>IFERROR(AVERAGE('Controles marcos'!$E$120,'Controles marcos'!$E$121),"")</f>
        <v/>
      </c>
      <c r="F133" s="9" t="n"/>
      <c r="G133" s="9" t="n"/>
      <c r="H133" s="9" t="n"/>
      <c r="I133" s="9" t="n"/>
      <c r="J133" s="12" t="inlineStr">
        <is>
          <t>Extra (marco o buena práctica)</t>
        </is>
      </c>
      <c r="K133" s="34" t="inlineStr">
        <is>
          <t>No</t>
        </is>
      </c>
      <c r="L133" s="23">
        <f>IF(AND(K133="Sí",ISNUMBER(E133)),E133,"")</f>
        <v/>
      </c>
    </row>
    <row r="134" ht="75" customHeight="1">
      <c r="A134" s="12" t="inlineStr">
        <is>
          <t>D13</t>
        </is>
      </c>
      <c r="B134" s="12" t="inlineStr">
        <is>
          <t>13.5</t>
        </is>
      </c>
      <c r="C134" s="12" t="inlineStr">
        <is>
          <t>El software no autorizado se bloquea y se registra. Verificar: lista de software permitido y alertas de instalación.</t>
        </is>
      </c>
      <c r="D134" s="12" t="inlineStr">
        <is>
          <t>• NIST PR.PS-05 · Prevención de software no autorizado
• CIS 2 · Inventario de software</t>
        </is>
      </c>
      <c r="E134" s="33">
        <f>IFERROR(AVERAGE('Controles marcos'!$E$122,'Controles marcos'!$E$138),"")</f>
        <v/>
      </c>
      <c r="F134" s="9" t="n"/>
      <c r="G134" s="9" t="n"/>
      <c r="H134" s="9" t="n"/>
      <c r="I134" s="9" t="n"/>
      <c r="J134" s="12" t="inlineStr">
        <is>
          <t>Extra (marco o buena práctica)</t>
        </is>
      </c>
      <c r="K134" s="34" t="inlineStr">
        <is>
          <t>No</t>
        </is>
      </c>
      <c r="L134" s="23">
        <f>IF(AND(K134="Sí",ISNUMBER(E134)),E134,"")</f>
        <v/>
      </c>
    </row>
    <row r="135" ht="75" customHeight="1">
      <c r="A135" s="12" t="inlineStr">
        <is>
          <t>D13</t>
        </is>
      </c>
      <c r="B135" s="12" t="inlineStr">
        <is>
          <t>13.6</t>
        </is>
      </c>
      <c r="C135" s="12" t="inlineStr">
        <is>
          <t>El correo y la navegación están protegidos contra phishing y sitios maliciosos. Verificar: filtros activos.</t>
        </is>
      </c>
      <c r="D135" s="12" t="inlineStr">
        <is>
          <t>• CIS 9 · Protección de correo y navegador</t>
        </is>
      </c>
      <c r="E135" s="33">
        <f>IFERROR(AVERAGE('Controles marcos'!$E$143),"")</f>
        <v/>
      </c>
      <c r="F135" s="9" t="n"/>
      <c r="G135" s="9" t="n"/>
      <c r="H135" s="9" t="n"/>
      <c r="I135" s="9" t="n"/>
      <c r="J135" s="12" t="inlineStr">
        <is>
          <t>Extra (marco o buena práctica)</t>
        </is>
      </c>
      <c r="K135" s="34" t="inlineStr">
        <is>
          <t>No</t>
        </is>
      </c>
      <c r="L135" s="23">
        <f>IF(AND(K135="Sí",ISNUMBER(E135)),E135,"")</f>
        <v/>
      </c>
    </row>
    <row r="136" ht="75" customHeight="1">
      <c r="A136" s="12" t="inlineStr">
        <is>
          <t>D13</t>
        </is>
      </c>
      <c r="B136" s="12" t="inlineStr">
        <is>
          <t>13.7</t>
        </is>
      </c>
      <c r="C136" s="12" t="inlineStr">
        <is>
          <t>Todos los endpoints y servidores tienen defensas contra malware. Verificar: cobertura de antivirus o EDR.</t>
        </is>
      </c>
      <c r="D136" s="12" t="inlineStr">
        <is>
          <t>• CIS 10 · Defensas contra malware</t>
        </is>
      </c>
      <c r="E136" s="33">
        <f>IFERROR(AVERAGE('Controles marcos'!$E$144),"")</f>
        <v/>
      </c>
      <c r="F136" s="9" t="n"/>
      <c r="G136" s="9" t="n"/>
      <c r="H136" s="9" t="n"/>
      <c r="I136" s="9" t="n"/>
      <c r="J136" s="12" t="inlineStr">
        <is>
          <t>Extra (marco o buena práctica)</t>
        </is>
      </c>
      <c r="K136" s="34" t="inlineStr">
        <is>
          <t>No</t>
        </is>
      </c>
      <c r="L136" s="23">
        <f>IF(AND(K136="Sí",ISNUMBER(E136)),E136,"")</f>
        <v/>
      </c>
    </row>
    <row r="137" ht="75" customHeight="1">
      <c r="A137" s="12" t="inlineStr">
        <is>
          <t>D13</t>
        </is>
      </c>
      <c r="B137" s="12" t="inlineStr">
        <is>
          <t>13.8</t>
        </is>
      </c>
      <c r="C137" s="12" t="inlineStr">
        <is>
          <t>Las acciones y datos de los incidentes quedan registrados con integridad y origen. Verificar: registro de un incidente reciente.</t>
        </is>
      </c>
      <c r="D137" s="12" t="inlineStr">
        <is>
          <t>• NIST RS.AN-06 · Registro de acciones durante la investigación
• NIST RS.AN-07 · Recolección de datos del incidente</t>
        </is>
      </c>
      <c r="E137" s="33">
        <f>IFERROR(AVERAGE('Controles marcos'!$E$129,'Controles marcos'!$E$130),"")</f>
        <v/>
      </c>
      <c r="F137" s="9" t="n"/>
      <c r="G137" s="9" t="n"/>
      <c r="H137" s="9" t="n"/>
      <c r="I137" s="9" t="n"/>
      <c r="J137" s="12" t="inlineStr">
        <is>
          <t>Extra (marco o buena práctica)</t>
        </is>
      </c>
      <c r="K137" s="34" t="inlineStr">
        <is>
          <t>No</t>
        </is>
      </c>
      <c r="L137" s="23">
        <f>IF(AND(K137="Sí",ISNUMBER(E137)),E137,"")</f>
        <v/>
      </c>
    </row>
    <row r="138" ht="75" customHeight="1">
      <c r="A138" s="12" t="inlineStr">
        <is>
          <t>D13</t>
        </is>
      </c>
      <c r="B138" s="12" t="inlineStr">
        <is>
          <t>13.9</t>
        </is>
      </c>
      <c r="C138" s="12" t="inlineStr">
        <is>
          <t>La evidencia electrónica se preserva según la Ley 21.459 (arts. 14 y 18 N°1) dentro del procedimiento de incidentes. Verificar: procedimiento de preservación.</t>
        </is>
      </c>
      <c r="D138" s="12" t="inlineStr">
        <is>
          <t>• L21.459 Art.14 · Preservación y custodia de evidencia electrónica
• L21.459 Art.18 N1 · Preservación provisoria de datos</t>
        </is>
      </c>
      <c r="E138" s="33">
        <f>IFERROR(AVERAGE('Controles marcos'!$E$166,'Controles marcos'!$E$167),"")</f>
        <v/>
      </c>
      <c r="F138" s="9" t="n"/>
      <c r="G138" s="9" t="n"/>
      <c r="H138" s="9" t="n"/>
      <c r="I138" s="9" t="n"/>
      <c r="J138" s="12" t="inlineStr">
        <is>
          <t>Extra (marco o buena práctica)</t>
        </is>
      </c>
      <c r="K138" s="34" t="inlineStr">
        <is>
          <t>No</t>
        </is>
      </c>
      <c r="L138" s="23">
        <f>IF(AND(K138="Sí",ISNUMBER(E138)),E138,"")</f>
        <v/>
      </c>
    </row>
    <row r="139" ht="75" customHeight="1">
      <c r="A139" s="12" t="inlineStr">
        <is>
          <t>D13</t>
        </is>
      </c>
      <c r="B139" s="12" t="inlineStr">
        <is>
          <t>13.10</t>
        </is>
      </c>
      <c r="C139" s="12" t="inlineStr">
        <is>
          <t>Los incidentes con datos personales se contienen y se erradican con pasos documentados. Verificar: procedimiento y último caso.</t>
        </is>
      </c>
      <c r="D139" s="12" t="inlineStr">
        <is>
          <t>• NIST RS.MI-01 · Contención de incidentes
• NIST RS.MI-02 · Erradicación de incidentes</t>
        </is>
      </c>
      <c r="E139" s="33">
        <f>IFERROR(AVERAGE('Controles marcos'!$E$134,'Controles marcos'!$E$135),"")</f>
        <v/>
      </c>
      <c r="F139" s="9" t="n"/>
      <c r="G139" s="9" t="n"/>
      <c r="H139" s="9" t="n"/>
      <c r="I139" s="9" t="n"/>
      <c r="J139" s="12" t="inlineStr">
        <is>
          <t>Extra (marco o buena práctica)</t>
        </is>
      </c>
      <c r="K139" s="34" t="inlineStr">
        <is>
          <t>No</t>
        </is>
      </c>
      <c r="L139" s="23">
        <f>IF(AND(K139="Sí",ISNUMBER(E139)),E139,"")</f>
        <v/>
      </c>
    </row>
    <row r="140" ht="75" customHeight="1">
      <c r="A140" s="12" t="inlineStr">
        <is>
          <t>D13</t>
        </is>
      </c>
      <c r="B140" s="12" t="inlineStr">
        <is>
          <t>13.11</t>
        </is>
      </c>
      <c r="C140" s="12" t="inlineStr">
        <is>
          <t>Los respaldos se verifican antes de restaurar datos personales. Verificar: procedimiento de verificación y última restauración.</t>
        </is>
      </c>
      <c r="D140" s="12" t="inlineStr">
        <is>
          <t>• NIST RC.RP-03 · Verificación de integridad de respaldos antes de restaurar
• CIS 11 · Recuperación de datos</t>
        </is>
      </c>
      <c r="E140" s="33">
        <f>IFERROR(AVERAGE('Controles marcos'!$E$136,'Controles marcos'!$E$145),"")</f>
        <v/>
      </c>
      <c r="F140" s="9" t="n"/>
      <c r="G140" s="9" t="n"/>
      <c r="H140" s="9" t="n"/>
      <c r="I140" s="9" t="n"/>
      <c r="J140" s="12" t="inlineStr">
        <is>
          <t>Extra (marco o buena práctica)</t>
        </is>
      </c>
      <c r="K140" s="34" t="inlineStr">
        <is>
          <t>No</t>
        </is>
      </c>
      <c r="L140" s="23">
        <f>IF(AND(K140="Sí",ISNUMBER(E140)),E140,"")</f>
        <v/>
      </c>
    </row>
    <row r="141" ht="75" customHeight="1">
      <c r="A141" s="12" t="inlineStr">
        <is>
          <t>D13</t>
        </is>
      </c>
      <c r="B141" s="12" t="inlineStr">
        <is>
          <t>13.12</t>
        </is>
      </c>
      <c r="C141" s="12" t="inlineStr">
        <is>
          <t>Los cambios tienen evaluación de impacto en privacidad y aceptación formal (COBIT BAI06 y BAI07). Verificar: formulario de cambio con esos campos.</t>
        </is>
      </c>
      <c r="D141" s="12" t="inlineStr">
        <is>
          <t>• COBIT BAI06 · proceso COBIT 5
• COBIT BAI07 · proceso COBIT 5</t>
        </is>
      </c>
      <c r="E141" s="33">
        <f>IFERROR(AVERAGE('Controles marcos'!$E$154,'Controles marcos'!$E$155),"")</f>
        <v/>
      </c>
      <c r="F141" s="9" t="n"/>
      <c r="G141" s="9" t="n"/>
      <c r="H141" s="9" t="n"/>
      <c r="I141" s="9" t="n"/>
      <c r="J141" s="12" t="inlineStr">
        <is>
          <t>Extra (marco o buena práctica)</t>
        </is>
      </c>
      <c r="K141" s="34" t="inlineStr">
        <is>
          <t>No</t>
        </is>
      </c>
      <c r="L141" s="23">
        <f>IF(AND(K141="Sí",ISNUMBER(E141)),E141,"")</f>
        <v/>
      </c>
    </row>
    <row r="142" ht="75" customHeight="1">
      <c r="A142" s="12" t="inlineStr">
        <is>
          <t>D13</t>
        </is>
      </c>
      <c r="B142" s="12" t="inlineStr">
        <is>
          <t>13.13</t>
        </is>
      </c>
      <c r="C142" s="12" t="inlineStr">
        <is>
          <t>Los activos y las configuraciones se gestionan durante todo su ciclo de vida (COBIT BAI09 y BAI10). Verificar: inventario y registro de configuración.</t>
        </is>
      </c>
      <c r="D142" s="12" t="inlineStr">
        <is>
          <t>• COBIT BAI09 · proceso COBIT 5
• COBIT BAI10 · proceso COBIT 5</t>
        </is>
      </c>
      <c r="E142" s="33">
        <f>IFERROR(AVERAGE('Controles marcos'!$E$156,'Controles marcos'!$E$157),"")</f>
        <v/>
      </c>
      <c r="F142" s="9" t="n"/>
      <c r="G142" s="9" t="n"/>
      <c r="H142" s="9" t="n"/>
      <c r="I142" s="9" t="n"/>
      <c r="J142" s="12" t="inlineStr">
        <is>
          <t>Extra (marco o buena práctica)</t>
        </is>
      </c>
      <c r="K142" s="34" t="inlineStr">
        <is>
          <t>No</t>
        </is>
      </c>
      <c r="L142" s="23">
        <f>IF(AND(K142="Sí",ISNUMBER(E142)),E142,"")</f>
        <v/>
      </c>
    </row>
    <row r="143" ht="75" customHeight="1">
      <c r="A143" s="12" t="inlineStr">
        <is>
          <t>D13</t>
        </is>
      </c>
      <c r="B143" s="12" t="inlineStr">
        <is>
          <t>13.14</t>
        </is>
      </c>
      <c r="C143" s="12" t="inlineStr">
        <is>
          <t>Los sistemas con datos personales siguen los benchmarks de configuración aplicables (sistemas operativos, bases de datos, redes, aplicaciones, nube y suite de oficina). Verificar: benchmark usado y cumplimiento.</t>
        </is>
      </c>
      <c r="D143" s="12" t="inlineStr">
        <is>
          <t>• BM-OS · Benchmark de sistemas operativos
• BM-CLOUD · Benchmark de proveedores de nube
• BM-DB · Benchmark de bases de datos
• BM-NET · Benchmark de dispositivos de red
• BM-APP · Benchmark de aplicaciones y navegadores
• BM-M365 · Benchmark de suites de productividad</t>
        </is>
      </c>
      <c r="E143" s="33">
        <f>IFERROR(AVERAGE('Controles marcos'!$E$147,'Controles marcos'!$E$148,'Controles marcos'!$E$149,'Controles marcos'!$E$150,'Controles marcos'!$E$152,'Controles marcos'!$E$153),"")</f>
        <v/>
      </c>
      <c r="F143" s="9" t="n"/>
      <c r="G143" s="9" t="n"/>
      <c r="H143" s="9" t="n"/>
      <c r="I143" s="9" t="n"/>
      <c r="J143" s="12" t="inlineStr">
        <is>
          <t>Extra (marco o buena práctica)</t>
        </is>
      </c>
      <c r="K143" s="34" t="inlineStr">
        <is>
          <t>No</t>
        </is>
      </c>
      <c r="L143" s="23">
        <f>IF(AND(K143="Sí",ISNUMBER(E143)),E143,"")</f>
        <v/>
      </c>
    </row>
    <row r="144" ht="75" customHeight="1">
      <c r="A144" s="12" t="inlineStr">
        <is>
          <t>D13</t>
        </is>
      </c>
      <c r="B144" s="12" t="inlineStr">
        <is>
          <t>13.15</t>
        </is>
      </c>
      <c r="C144" s="12" t="inlineStr">
        <is>
          <t>El entorno de pagos cumple PCI DSS requisitos 2 y 5 (configuración segura y malware). Verificar: aplica solo si la organización procesa tarjetas; indicar N/A si no.</t>
        </is>
      </c>
      <c r="D144" s="12" t="inlineStr">
        <is>
          <t>• PCI Req 2 · Configuraciones seguras en todos los componentes
• PCI Req 5 · Protección de sistemas contra software malicioso</t>
        </is>
      </c>
      <c r="E144" s="33">
        <f>IFERROR(AVERAGE('Controles marcos'!$E$158,'Controles marcos'!$E$159),"")</f>
        <v/>
      </c>
      <c r="F144" s="9" t="n"/>
      <c r="G144" s="9" t="n"/>
      <c r="H144" s="9" t="n"/>
      <c r="I144" s="9" t="n"/>
      <c r="J144" s="12" t="inlineStr">
        <is>
          <t>Extra (marco o buena práctica)</t>
        </is>
      </c>
      <c r="K144" s="34" t="inlineStr">
        <is>
          <t>No</t>
        </is>
      </c>
      <c r="L144" s="23">
        <f>IF(AND(K144="Sí",ISNUMBER(E144)),E144,"")</f>
        <v/>
      </c>
    </row>
    <row r="145" ht="75" customHeight="1">
      <c r="A145" s="12" t="inlineStr">
        <is>
          <t>D13</t>
        </is>
      </c>
      <c r="B145" s="12" t="inlineStr">
        <is>
          <t>13.16</t>
        </is>
      </c>
      <c r="C145" s="12" t="inlineStr">
        <is>
          <t>El entorno de pagos cumple PCI DSS requisitos 7 y 8 (acceso y autenticación). Verificar: aplica solo si procesa tarjetas; indicar N/A si no.</t>
        </is>
      </c>
      <c r="D145" s="12" t="inlineStr">
        <is>
          <t>• PCI Req 7 · Acceso restringido según necesidad de saber
• PCI Req 8 · Identificación de usuarios y autenticación del acceso</t>
        </is>
      </c>
      <c r="E145" s="33">
        <f>IFERROR(AVERAGE('Controles marcos'!$E$160,'Controles marcos'!$E$161),"")</f>
        <v/>
      </c>
      <c r="F145" s="9" t="n"/>
      <c r="G145" s="9" t="n"/>
      <c r="H145" s="9" t="n"/>
      <c r="I145" s="9" t="n"/>
      <c r="J145" s="12" t="inlineStr">
        <is>
          <t>Extra (marco o buena práctica)</t>
        </is>
      </c>
      <c r="K145" s="34" t="inlineStr">
        <is>
          <t>No</t>
        </is>
      </c>
      <c r="L145" s="23">
        <f>IF(AND(K145="Sí",ISNUMBER(E145)),E145,"")</f>
        <v/>
      </c>
    </row>
    <row r="146" ht="75" customHeight="1">
      <c r="A146" s="12" t="inlineStr">
        <is>
          <t>D13</t>
        </is>
      </c>
      <c r="B146" s="12" t="inlineStr">
        <is>
          <t>13.17</t>
        </is>
      </c>
      <c r="C146" s="12" t="inlineStr">
        <is>
          <t>El modelo de prevención de delitos de la Ley 20.393 (art. 4) está integrado con el programa de datos personales. Verificar: modelo vigente y su vínculo con privacidad.</t>
        </is>
      </c>
      <c r="D146" s="12" t="inlineStr">
        <is>
          <t>• L20.393 Art.4 · Modelo de prevención de delitos vigente</t>
        </is>
      </c>
      <c r="E146" s="33">
        <f>IFERROR(AVERAGE('Controles marcos'!$E$168),"")</f>
        <v/>
      </c>
      <c r="F146" s="9" t="n"/>
      <c r="G146" s="9" t="n"/>
      <c r="H146" s="9" t="n"/>
      <c r="I146" s="9" t="n"/>
      <c r="J146" s="12" t="inlineStr">
        <is>
          <t>Extra (marco o buena práctica)</t>
        </is>
      </c>
      <c r="K146" s="34" t="inlineStr">
        <is>
          <t>No</t>
        </is>
      </c>
      <c r="L146" s="23">
        <f>IF(AND(K146="Sí",ISNUMBER(E146)),E146,"")</f>
        <v/>
      </c>
    </row>
    <row r="147" ht="75" customHeight="1">
      <c r="A147" s="12" t="inlineStr">
        <is>
          <t>D13</t>
        </is>
      </c>
      <c r="B147" s="12" t="inlineStr">
        <is>
          <t>13.18</t>
        </is>
      </c>
      <c r="C147" s="12" t="inlineStr">
        <is>
          <t>El programa de cumplimiento está alineado con la Política Nacional de Ciberseguridad. Verificar: mapeo de la política con el programa.</t>
        </is>
      </c>
      <c r="D147" s="12" t="inlineStr">
        <is>
          <t>• PNCS · Política Nacional de Ciberseguridad</t>
        </is>
      </c>
      <c r="E147" s="33">
        <f>IFERROR(AVERAGE('Controles marcos'!$E$171),"")</f>
        <v/>
      </c>
      <c r="F147" s="9" t="n"/>
      <c r="G147" s="9" t="n"/>
      <c r="H147" s="9" t="n"/>
      <c r="I147" s="9" t="n"/>
      <c r="J147" s="12" t="inlineStr">
        <is>
          <t>Extra (marco o buena práctica)</t>
        </is>
      </c>
      <c r="K147" s="34" t="inlineStr">
        <is>
          <t>No</t>
        </is>
      </c>
      <c r="L147" s="23">
        <f>IF(AND(K147="Sí",ISNUMBER(E147)),E147,"")</f>
        <v/>
      </c>
    </row>
    <row r="148" ht="75" customHeight="1">
      <c r="A148" s="12" t="inlineStr">
        <is>
          <t>D13</t>
        </is>
      </c>
      <c r="B148" s="12" t="inlineStr">
        <is>
          <t>13.19</t>
        </is>
      </c>
      <c r="C148" s="12" t="inlineStr">
        <is>
          <t>Los contenedores y su orquestación siguen benchmarks de configuración. Verificar: aplica solo si hay contenedores; indicar N/A si no.</t>
        </is>
      </c>
      <c r="D148" s="12" t="inlineStr">
        <is>
          <t>• BM-CONT · Benchmark de contenedores y orquestación</t>
        </is>
      </c>
      <c r="E148" s="33">
        <f>IFERROR(AVERAGE('Controles marcos'!$E$151),"")</f>
        <v/>
      </c>
      <c r="F148" s="9" t="n"/>
      <c r="G148" s="9" t="n"/>
      <c r="H148" s="9" t="n"/>
      <c r="I148" s="9" t="n"/>
      <c r="J148" s="12" t="inlineStr">
        <is>
          <t>Extra (marco o buena práctica)</t>
        </is>
      </c>
      <c r="K148" s="34" t="inlineStr">
        <is>
          <t>No</t>
        </is>
      </c>
      <c r="L148" s="23">
        <f>IF(AND(K148="Sí",ISNUMBER(E148)),E148,"")</f>
        <v/>
      </c>
    </row>
    <row r="149" ht="75" customHeight="1">
      <c r="A149" s="12" t="inlineStr">
        <is>
          <t>D13</t>
        </is>
      </c>
      <c r="B149" s="12" t="inlineStr">
        <is>
          <t>13.20</t>
        </is>
      </c>
      <c r="C149" s="12" t="inlineStr">
        <is>
          <t>El alcance del entorno de pagos (tiendas, bodegas y ecommerce) está identificado y segmentado. Verificar: diagrama de alcance.</t>
        </is>
      </c>
      <c r="D149" s="12" t="inlineStr">
        <is>
          <t>• PCI Req 2 · Configuraciones seguras en todos los componentes
• PCI Req 7 · Acceso restringido según necesidad de saber</t>
        </is>
      </c>
      <c r="E149" s="33">
        <f>IFERROR(AVERAGE('Controles marcos'!$E$158,'Controles marcos'!$E$160),"")</f>
        <v/>
      </c>
      <c r="F149" s="9" t="n"/>
      <c r="G149" s="9" t="n"/>
      <c r="H149" s="9" t="n"/>
      <c r="I149" s="9" t="n"/>
      <c r="J149" s="12" t="inlineStr">
        <is>
          <t>Extra (marco o buena práctica)</t>
        </is>
      </c>
      <c r="K149" s="34" t="inlineStr">
        <is>
          <t>No</t>
        </is>
      </c>
      <c r="L149" s="23">
        <f>IF(AND(K149="Sí",ISNUMBER(E149)),E149,"")</f>
        <v/>
      </c>
    </row>
    <row r="150" ht="75" customHeight="1">
      <c r="A150" s="12" t="inlineStr">
        <is>
          <t>D13</t>
        </is>
      </c>
      <c r="B150" s="12" t="inlineStr">
        <is>
          <t>13.21</t>
        </is>
      </c>
      <c r="C150" s="12" t="inlineStr">
        <is>
          <t>Ley 21.663 de Ciberseguridad identificada y cruzada con las obligaciones de la Ley 21.719.</t>
        </is>
      </c>
      <c r="D150" s="12" t="inlineStr">
        <is>
          <t>• L21.663 Ley de Ciberseguridad · Ley 21.663 Marco de ciberseguridad
• 5.31 · Requisitos legales, estatutarios y contractuales</t>
        </is>
      </c>
      <c r="E150" s="33">
        <f>IFERROR(AVERAGE('Controles marcos'!$E$172,'Controles marcos'!$E$32),"")</f>
        <v/>
      </c>
      <c r="F150" s="9" t="n"/>
      <c r="G150" s="9" t="n"/>
      <c r="H150" s="9" t="n"/>
      <c r="I150" s="9" t="n"/>
      <c r="J150" s="12" t="inlineStr">
        <is>
          <t>Extra (marco o buena práctica)</t>
        </is>
      </c>
      <c r="K150" s="34" t="inlineStr">
        <is>
          <t>No</t>
        </is>
      </c>
      <c r="L150" s="23">
        <f>IF(AND(K150="Sí",ISNUMBER(E150)),E150,"")</f>
        <v/>
      </c>
    </row>
    <row r="151" ht="75" customHeight="1">
      <c r="A151" s="12" t="inlineStr">
        <is>
          <t>D14</t>
        </is>
      </c>
      <c r="B151" s="12" t="inlineStr">
        <is>
          <t>14.1</t>
        </is>
      </c>
      <c r="C151" s="12" t="inlineStr">
        <is>
          <t>Las áreas sensibles tienen perímetro físico y control de entrada. Verificar: tarjetas, biométrico o libro de ingreso.</t>
        </is>
      </c>
      <c r="D151" s="12" t="inlineStr">
        <is>
          <t>• 7.1 · Perímetros de seguridad física
• 7.2 · Controles de entrada física</t>
        </is>
      </c>
      <c r="E151" s="33">
        <f>IFERROR(AVERAGE('Controles marcos'!$E$47,'Controles marcos'!$E$48),"")</f>
        <v/>
      </c>
      <c r="F151" s="9" t="n"/>
      <c r="G151" s="9" t="n"/>
      <c r="H151" s="9" t="n"/>
      <c r="I151" s="9" t="n"/>
      <c r="J151" s="12" t="inlineStr">
        <is>
          <t>Extra (marco o buena práctica)</t>
        </is>
      </c>
      <c r="K151" s="34" t="inlineStr">
        <is>
          <t>No</t>
        </is>
      </c>
      <c r="L151" s="23">
        <f>IF(AND(K151="Sí",ISNUMBER(E151)),E151,"")</f>
        <v/>
      </c>
    </row>
    <row r="152" ht="75" customHeight="1">
      <c r="A152" s="12" t="inlineStr">
        <is>
          <t>D14</t>
        </is>
      </c>
      <c r="B152" s="12" t="inlineStr">
        <is>
          <t>14.2</t>
        </is>
      </c>
      <c r="C152" s="12" t="inlineStr">
        <is>
          <t>Oficinas, recintos y áreas seguras están protegidos. Verificar: políticas de acceso y revisión de instalaciones.</t>
        </is>
      </c>
      <c r="D152" s="12" t="inlineStr">
        <is>
          <t>• 7.3 · Seguridad de oficinas, recintos e instalaciones
• 7.6 · Trabajo en áreas seguras</t>
        </is>
      </c>
      <c r="E152" s="33">
        <f>IFERROR(AVERAGE('Controles marcos'!$E$49,'Controles marcos'!$E$52),"")</f>
        <v/>
      </c>
      <c r="F152" s="9" t="n"/>
      <c r="G152" s="9" t="n"/>
      <c r="H152" s="9" t="n"/>
      <c r="I152" s="9" t="n"/>
      <c r="J152" s="12" t="inlineStr">
        <is>
          <t>Extra (marco o buena práctica)</t>
        </is>
      </c>
      <c r="K152" s="34" t="inlineStr">
        <is>
          <t>No</t>
        </is>
      </c>
      <c r="L152" s="23">
        <f>IF(AND(K152="Sí",ISNUMBER(E152)),E152,"")</f>
        <v/>
      </c>
    </row>
    <row r="153" ht="75" customHeight="1">
      <c r="A153" s="12" t="inlineStr">
        <is>
          <t>D14</t>
        </is>
      </c>
      <c r="B153" s="12" t="inlineStr">
        <is>
          <t>14.3</t>
        </is>
      </c>
      <c r="C153" s="12" t="inlineStr">
        <is>
          <t>Existe monitoreo físico (CCTV, alarmas) y protección frente a incendio, inundación u otras amenazas. Verificar: sistemas instalados y su mantenimiento.</t>
        </is>
      </c>
      <c r="D153" s="12" t="inlineStr">
        <is>
          <t>• 7.4 · Monitoreo de seguridad física
• 7.5 · Protección contra amenazas físicas y ambientales</t>
        </is>
      </c>
      <c r="E153" s="33">
        <f>IFERROR(AVERAGE('Controles marcos'!$E$50,'Controles marcos'!$E$51),"")</f>
        <v/>
      </c>
      <c r="F153" s="9" t="n"/>
      <c r="G153" s="9" t="n"/>
      <c r="H153" s="9" t="n"/>
      <c r="I153" s="9" t="n"/>
      <c r="J153" s="12" t="inlineStr">
        <is>
          <t>Extra (marco o buena práctica)</t>
        </is>
      </c>
      <c r="K153" s="34" t="inlineStr">
        <is>
          <t>No</t>
        </is>
      </c>
      <c r="L153" s="23">
        <f>IF(AND(K153="Sí",ISNUMBER(E153)),E153,"")</f>
        <v/>
      </c>
    </row>
    <row r="154" ht="75" customHeight="1">
      <c r="A154" s="12" t="inlineStr">
        <is>
          <t>D14</t>
        </is>
      </c>
      <c r="B154" s="12" t="inlineStr">
        <is>
          <t>14.4</t>
        </is>
      </c>
      <c r="C154" s="12" t="inlineStr">
        <is>
          <t>Hay reglas de escritorio limpio y pantalla bloqueada, y los equipos están ubicados para evitar accesos indebidos. Verificar: revisión de puestos de trabajo.</t>
        </is>
      </c>
      <c r="D154" s="12" t="inlineStr">
        <is>
          <t>• 7.7 · Escritorio limpio y pantalla limpia
• 7.8 · Ubicación y protección de equipos</t>
        </is>
      </c>
      <c r="E154" s="33">
        <f>IFERROR(AVERAGE('Controles marcos'!$E$53,'Controles marcos'!$E$54),"")</f>
        <v/>
      </c>
      <c r="F154" s="9" t="n"/>
      <c r="G154" s="9" t="n"/>
      <c r="H154" s="9" t="n"/>
      <c r="I154" s="9" t="n"/>
      <c r="J154" s="12" t="inlineStr">
        <is>
          <t>Extra (marco o buena práctica)</t>
        </is>
      </c>
      <c r="K154" s="34" t="inlineStr">
        <is>
          <t>No</t>
        </is>
      </c>
      <c r="L154" s="23">
        <f>IF(AND(K154="Sí",ISNUMBER(E154)),E154,"")</f>
        <v/>
      </c>
    </row>
    <row r="155" ht="75" customHeight="1">
      <c r="A155" s="12" t="inlineStr">
        <is>
          <t>D14</t>
        </is>
      </c>
      <c r="B155" s="12" t="inlineStr">
        <is>
          <t>14.5</t>
        </is>
      </c>
      <c r="C155" s="12" t="inlineStr">
        <is>
          <t>Los equipos y datos fuera de la oficina están protegidos, los medios removibles están controlados y la eliminación de equipos es segura. Verificar: procedimiento y certificados de destrucción.</t>
        </is>
      </c>
      <c r="D155" s="12" t="inlineStr">
        <is>
          <t>• 7.9 · Seguridad de activos fuera de las instalaciones
• 7.10 · Medios de almacenamiento
• 7.14 · Eliminación o reutilización segura de equipos</t>
        </is>
      </c>
      <c r="E155" s="33">
        <f>IFERROR(AVERAGE('Controles marcos'!$E$55,'Controles marcos'!$E$56,'Controles marcos'!$E$60),"")</f>
        <v/>
      </c>
      <c r="F155" s="9" t="n"/>
      <c r="G155" s="9" t="n"/>
      <c r="H155" s="9" t="n"/>
      <c r="I155" s="9" t="n"/>
      <c r="J155" s="12" t="inlineStr">
        <is>
          <t>Extra (marco o buena práctica)</t>
        </is>
      </c>
      <c r="K155" s="34" t="inlineStr">
        <is>
          <t>No</t>
        </is>
      </c>
      <c r="L155" s="23">
        <f>IF(AND(K155="Sí",ISNUMBER(E155)),E155,"")</f>
        <v/>
      </c>
    </row>
    <row r="156" ht="75" customHeight="1">
      <c r="A156" s="12" t="inlineStr">
        <is>
          <t>D14</t>
        </is>
      </c>
      <c r="B156" s="12" t="inlineStr">
        <is>
          <t>14.6</t>
        </is>
      </c>
      <c r="C156" s="12" t="inlineStr">
        <is>
          <t>Energía, cableado y mantenimiento de equipos están protegidos y registrados. Verificar: UPS, planos de cableado y registro de mantenimientos.</t>
        </is>
      </c>
      <c r="D156" s="12" t="inlineStr">
        <is>
          <t>• 7.11 · Servicios de suministro
• 7.12 · Seguridad del cableado
• 7.13 · Mantenimiento de equipos</t>
        </is>
      </c>
      <c r="E156" s="33">
        <f>IFERROR(AVERAGE('Controles marcos'!$E$57,'Controles marcos'!$E$58,'Controles marcos'!$E$59),"")</f>
        <v/>
      </c>
      <c r="F156" s="9" t="n"/>
      <c r="G156" s="9" t="n"/>
      <c r="H156" s="9" t="n"/>
      <c r="I156" s="9" t="n"/>
      <c r="J156" s="12" t="inlineStr">
        <is>
          <t>Extra (marco o buena práctica)</t>
        </is>
      </c>
      <c r="K156" s="34" t="inlineStr">
        <is>
          <t>No</t>
        </is>
      </c>
      <c r="L156" s="23">
        <f>IF(AND(K156="Sí",ISNUMBER(E156)),E156,"")</f>
        <v/>
      </c>
    </row>
    <row r="157" ht="75" customHeight="1">
      <c r="A157" s="12" t="inlineStr">
        <is>
          <t>D15</t>
        </is>
      </c>
      <c r="B157" s="12" t="inlineStr">
        <is>
          <t>15.1</t>
        </is>
      </c>
      <c r="C157" s="12" t="inlineStr">
        <is>
          <t>Existe inventario y clasificación de servidores, equipos de red y servicios en la nube. Verificar: inventario con criticidad.</t>
        </is>
      </c>
      <c r="D157" s="12" t="inlineStr">
        <is>
          <t>• CIS 1 · Inventario de activos empresariales
• NIST ID.AM-01 · Inventario de hardware</t>
        </is>
      </c>
      <c r="E157" s="33">
        <f>IFERROR(AVERAGE('Controles marcos'!$E$137,'Controles marcos'!$E$106),"")</f>
        <v/>
      </c>
      <c r="F157" s="9" t="n"/>
      <c r="G157" s="9" t="n"/>
      <c r="H157" s="9" t="n"/>
      <c r="I157" s="9" t="n"/>
      <c r="J157" s="12" t="inlineStr">
        <is>
          <t>Obligatorio Ley 21.719</t>
        </is>
      </c>
      <c r="K157" s="34" t="inlineStr">
        <is>
          <t>Sí</t>
        </is>
      </c>
      <c r="L157" s="23">
        <f>IF(AND(K157="Sí",ISNUMBER(E157)),E157,"")</f>
        <v/>
      </c>
    </row>
    <row r="158" ht="75" customHeight="1">
      <c r="A158" s="12" t="inlineStr">
        <is>
          <t>D15</t>
        </is>
      </c>
      <c r="B158" s="12" t="inlineStr">
        <is>
          <t>15.2</t>
        </is>
      </c>
      <c r="C158" s="12" t="inlineStr">
        <is>
          <t>Los sistemas operativos tienen configuración segura según un benchmark reconocido. Verificar: benchmark usado y resultado.</t>
        </is>
      </c>
      <c r="D158" s="12" t="inlineStr">
        <is>
          <t>• BM-OS · Benchmark de sistemas operativos
• CIS 4 · Configuración segura de activos y software</t>
        </is>
      </c>
      <c r="E158" s="33">
        <f>IFERROR(AVERAGE('Controles marcos'!$E$147,'Controles marcos'!$E$139),"")</f>
        <v/>
      </c>
      <c r="F158" s="9" t="n"/>
      <c r="G158" s="9" t="n"/>
      <c r="H158" s="9" t="n"/>
      <c r="I158" s="9" t="n"/>
      <c r="J158" s="12" t="inlineStr">
        <is>
          <t>Extra (marco o buena práctica)</t>
        </is>
      </c>
      <c r="K158" s="34" t="inlineStr">
        <is>
          <t>No</t>
        </is>
      </c>
      <c r="L158" s="23">
        <f>IF(AND(K158="Sí",ISNUMBER(E158)),E158,"")</f>
        <v/>
      </c>
    </row>
    <row r="159" ht="75" customHeight="1">
      <c r="A159" s="12" t="inlineStr">
        <is>
          <t>D15</t>
        </is>
      </c>
      <c r="B159" s="12" t="inlineStr">
        <is>
          <t>15.3</t>
        </is>
      </c>
      <c r="C159" s="12" t="inlineStr">
        <is>
          <t>La red está segmentada por nivel de sensibilidad (VLAN, zonas y reglas de firewall). Verificar: diagrama y reglas.</t>
        </is>
      </c>
      <c r="D159" s="12" t="inlineStr">
        <is>
          <t>• 8.22 · Segregación de redes
• 8.20 · Seguridad en redes
• NIST ID.AM-03 · Mapa de flujos de datos y comunicaciones</t>
        </is>
      </c>
      <c r="E159" s="33">
        <f>IFERROR(AVERAGE('Controles marcos'!$E$82,'Controles marcos'!$E$80,'Controles marcos'!$E$108),"")</f>
        <v/>
      </c>
      <c r="F159" s="9" t="n"/>
      <c r="G159" s="9" t="n"/>
      <c r="H159" s="9" t="n"/>
      <c r="I159" s="9" t="n"/>
      <c r="J159" s="12" t="inlineStr">
        <is>
          <t>Obligatorio Ley 21.719</t>
        </is>
      </c>
      <c r="K159" s="34" t="inlineStr">
        <is>
          <t>Sí</t>
        </is>
      </c>
      <c r="L159" s="23">
        <f>IF(AND(K159="Sí",ISNUMBER(E159)),E159,"")</f>
        <v/>
      </c>
    </row>
    <row r="160" ht="75" customHeight="1">
      <c r="A160" s="12" t="inlineStr">
        <is>
          <t>D15</t>
        </is>
      </c>
      <c r="B160" s="12" t="inlineStr">
        <is>
          <t>15.4</t>
        </is>
      </c>
      <c r="C160" s="12" t="inlineStr">
        <is>
          <t>Las bases de datos tienen configuración segura y el acceso privilegiado está controlado. Verificar: inventario de bases y cuentas administradoras.</t>
        </is>
      </c>
      <c r="D160" s="12" t="inlineStr">
        <is>
          <t>• BM-DB · Benchmark de bases de datos
• 8.2 · Derechos de acceso privilegiado</t>
        </is>
      </c>
      <c r="E160" s="33">
        <f>IFERROR(AVERAGE('Controles marcos'!$E$149,'Controles marcos'!$E$62),"")</f>
        <v/>
      </c>
      <c r="F160" s="9" t="n"/>
      <c r="G160" s="9" t="n"/>
      <c r="H160" s="9" t="n"/>
      <c r="I160" s="9" t="n"/>
      <c r="J160" s="12" t="inlineStr">
        <is>
          <t>Obligatorio Ley 21.719</t>
        </is>
      </c>
      <c r="K160" s="34" t="inlineStr">
        <is>
          <t>Sí</t>
        </is>
      </c>
      <c r="L160" s="23">
        <f>IF(AND(K160="Sí",ISNUMBER(E160)),E160,"")</f>
        <v/>
      </c>
    </row>
    <row r="161" ht="75" customHeight="1">
      <c r="A161" s="12" t="inlineStr">
        <is>
          <t>D15</t>
        </is>
      </c>
      <c r="B161" s="12" t="inlineStr">
        <is>
          <t>15.5</t>
        </is>
      </c>
      <c r="C161" s="12" t="inlineStr">
        <is>
          <t>Las bases de datos y los datos personales en reposo están cifrados. Verificar: configuración de cifrado por base.</t>
        </is>
      </c>
      <c r="D161" s="12" t="inlineStr">
        <is>
          <t>• 8.24 · Uso de criptografía
• 8.11 · Enmascaramiento de datos</t>
        </is>
      </c>
      <c r="E161" s="33">
        <f>IFERROR(AVERAGE('Controles marcos'!$E$84,'Controles marcos'!$E$71),"")</f>
        <v/>
      </c>
      <c r="F161" s="9" t="n"/>
      <c r="G161" s="9" t="n"/>
      <c r="H161" s="9" t="n"/>
      <c r="I161" s="9" t="n"/>
      <c r="J161" s="12" t="inlineStr">
        <is>
          <t>Obligatorio Ley 21.719</t>
        </is>
      </c>
      <c r="K161" s="34" t="inlineStr">
        <is>
          <t>Sí</t>
        </is>
      </c>
      <c r="L161" s="23">
        <f>IF(AND(K161="Sí",ISNUMBER(E161)),E161,"")</f>
        <v/>
      </c>
    </row>
    <row r="162" ht="75" customHeight="1">
      <c r="A162" s="12" t="inlineStr">
        <is>
          <t>D15</t>
        </is>
      </c>
      <c r="B162" s="12" t="inlineStr">
        <is>
          <t>15.6</t>
        </is>
      </c>
      <c r="C162" s="12" t="inlineStr">
        <is>
          <t>Las consultas y cambios sobre datos personales en bases de datos quedan registradas. Verificar: auditoría activa y retención.</t>
        </is>
      </c>
      <c r="D162" s="12" t="inlineStr">
        <is>
          <t>• 8.15 · Registro de actividades (logging)
• 8.16 · Actividades de monitoreo</t>
        </is>
      </c>
      <c r="E162" s="33">
        <f>IFERROR(AVERAGE('Controles marcos'!$E$75,'Controles marcos'!$E$76),"")</f>
        <v/>
      </c>
      <c r="F162" s="9" t="n"/>
      <c r="G162" s="9" t="n"/>
      <c r="H162" s="9" t="n"/>
      <c r="I162" s="9" t="n"/>
      <c r="J162" s="12" t="inlineStr">
        <is>
          <t>Obligatorio Ley 21.719</t>
        </is>
      </c>
      <c r="K162" s="34" t="inlineStr">
        <is>
          <t>Sí</t>
        </is>
      </c>
      <c r="L162" s="23">
        <f>IF(AND(K162="Sí",ISNUMBER(E162)),E162,"")</f>
        <v/>
      </c>
    </row>
    <row r="163" ht="75" customHeight="1">
      <c r="A163" s="12" t="inlineStr">
        <is>
          <t>D15</t>
        </is>
      </c>
      <c r="B163" s="12" t="inlineStr">
        <is>
          <t>15.7</t>
        </is>
      </c>
      <c r="C163" s="12" t="inlineStr">
        <is>
          <t>Los datos personales se enmascaran o anonimizan en entornos de prueba. Verificar: entornos de prueba y datos usados.</t>
        </is>
      </c>
      <c r="D163" s="12" t="inlineStr">
        <is>
          <t>• 8.33 · Información de prueba
• 8.11 · Enmascaramiento de datos</t>
        </is>
      </c>
      <c r="E163" s="33">
        <f>IFERROR(AVERAGE('Controles marcos'!$E$93,'Controles marcos'!$E$71),"")</f>
        <v/>
      </c>
      <c r="F163" s="9" t="n"/>
      <c r="G163" s="9" t="n"/>
      <c r="H163" s="9" t="n"/>
      <c r="I163" s="9" t="n"/>
      <c r="J163" s="12" t="inlineStr">
        <is>
          <t>Obligatorio Ley 21.719</t>
        </is>
      </c>
      <c r="K163" s="34" t="inlineStr">
        <is>
          <t>Sí</t>
        </is>
      </c>
      <c r="L163" s="23">
        <f>IF(AND(K163="Sí",ISNUMBER(E163)),E163,"")</f>
        <v/>
      </c>
    </row>
    <row r="164" ht="75" customHeight="1">
      <c r="A164" s="12" t="inlineStr">
        <is>
          <t>D15</t>
        </is>
      </c>
      <c r="B164" s="12" t="inlineStr">
        <is>
          <t>15.8</t>
        </is>
      </c>
      <c r="C164" s="12" t="inlineStr">
        <is>
          <t>Las comunicaciones externas usan TLS 1.2 o superior y el acceso remoto usa VPN. Verificar: configuración de los servicios expuestos y de la VPN.</t>
        </is>
      </c>
      <c r="D164" s="12" t="inlineStr">
        <is>
          <t>• 8.24 · Uso de criptografía
• 6.7 · Trabajo remoto
• 8.20 · Seguridad en redes</t>
        </is>
      </c>
      <c r="E164" s="33">
        <f>IFERROR(AVERAGE('Controles marcos'!$E$84,'Controles marcos'!$E$45,'Controles marcos'!$E$80),"")</f>
        <v/>
      </c>
      <c r="F164" s="9" t="n"/>
      <c r="G164" s="9" t="n"/>
      <c r="H164" s="9" t="n"/>
      <c r="I164" s="9" t="n"/>
      <c r="J164" s="12" t="inlineStr">
        <is>
          <t>Obligatorio Ley 21.719</t>
        </is>
      </c>
      <c r="K164" s="34" t="inlineStr">
        <is>
          <t>Sí</t>
        </is>
      </c>
      <c r="L164" s="23">
        <f>IF(AND(K164="Sí",ISNUMBER(E164)),E164,"")</f>
        <v/>
      </c>
    </row>
    <row r="165" ht="75" customHeight="1">
      <c r="A165" s="12" t="inlineStr">
        <is>
          <t>D15</t>
        </is>
      </c>
      <c r="B165" s="12" t="inlineStr">
        <is>
          <t>15.9</t>
        </is>
      </c>
      <c r="C165" s="12" t="inlineStr">
        <is>
          <t>El correo y la navegación están filtrados, con autenticación de dominio (SPF, DKIM, DMARC) y bloqueo de sitios riesgosos. Verificar: configuración del dominio y del filtro.</t>
        </is>
      </c>
      <c r="D165" s="12" t="inlineStr">
        <is>
          <t>• CIS 9 · Protección de correo y navegador
• 8.23 · Filtrado web</t>
        </is>
      </c>
      <c r="E165" s="33">
        <f>IFERROR(AVERAGE('Controles marcos'!$E$143,'Controles marcos'!$E$83),"")</f>
        <v/>
      </c>
      <c r="F165" s="9" t="n"/>
      <c r="G165" s="9" t="n"/>
      <c r="H165" s="9" t="n"/>
      <c r="I165" s="9" t="n"/>
      <c r="J165" s="12" t="inlineStr">
        <is>
          <t>Obligatorio Ley 21.719</t>
        </is>
      </c>
      <c r="K165" s="34" t="inlineStr">
        <is>
          <t>Sí</t>
        </is>
      </c>
      <c r="L165" s="23">
        <f>IF(AND(K165="Sí",ISNUMBER(E165)),E165,"")</f>
        <v/>
      </c>
    </row>
    <row r="166" ht="75" customHeight="1">
      <c r="A166" s="12" t="inlineStr">
        <is>
          <t>D15</t>
        </is>
      </c>
      <c r="B166" s="12" t="inlineStr">
        <is>
          <t>15.10</t>
        </is>
      </c>
      <c r="C166" s="12" t="inlineStr">
        <is>
          <t>Los servicios en nube y los contenedores tienen configuración segura. Verificar: revisión de configuración en la nube.</t>
        </is>
      </c>
      <c r="D166" s="12" t="inlineStr">
        <is>
          <t>• BM-CLOUD · Benchmark de proveedores de nube
• BM-CONT · Benchmark de contenedores y orquestación
• 5.23 · SI en servicios en la nube</t>
        </is>
      </c>
      <c r="E166" s="33">
        <f>IFERROR(AVERAGE('Controles marcos'!$E$148,'Controles marcos'!$E$151,'Controles marcos'!$E$24),"")</f>
        <v/>
      </c>
      <c r="F166" s="9" t="n"/>
      <c r="G166" s="9" t="n"/>
      <c r="H166" s="9" t="n"/>
      <c r="I166" s="9" t="n"/>
      <c r="J166" s="12" t="inlineStr">
        <is>
          <t>Extra (marco o buena práctica)</t>
        </is>
      </c>
      <c r="K166" s="34" t="inlineStr">
        <is>
          <t>No</t>
        </is>
      </c>
      <c r="L166" s="23">
        <f>IF(AND(K166="Sí",ISNUMBER(E166)),E166,"")</f>
        <v/>
      </c>
    </row>
    <row r="167" ht="75" customHeight="1">
      <c r="A167" s="12" t="inlineStr">
        <is>
          <t>D15</t>
        </is>
      </c>
      <c r="B167" s="12" t="inlineStr">
        <is>
          <t>15.11</t>
        </is>
      </c>
      <c r="C167" s="12" t="inlineStr">
        <is>
          <t>Las plataformas de productividad (por ejemplo, Microsoft 365) están configuradas según benchmark. Verificar: configuración de seguridad de la suite.</t>
        </is>
      </c>
      <c r="D167" s="12" t="inlineStr">
        <is>
          <t>• BM-M365 · Benchmark de suites de productividad
• CIS 4 · Configuración segura de activos y software</t>
        </is>
      </c>
      <c r="E167" s="33">
        <f>IFERROR(AVERAGE('Controles marcos'!$E$153,'Controles marcos'!$E$139),"")</f>
        <v/>
      </c>
      <c r="F167" s="9" t="n"/>
      <c r="G167" s="9" t="n"/>
      <c r="H167" s="9" t="n"/>
      <c r="I167" s="9" t="n"/>
      <c r="J167" s="12" t="inlineStr">
        <is>
          <t>Extra (marco o buena práctica)</t>
        </is>
      </c>
      <c r="K167" s="34" t="inlineStr">
        <is>
          <t>No</t>
        </is>
      </c>
      <c r="L167" s="23">
        <f>IF(AND(K167="Sí",ISNUMBER(E167)),E167,"")</f>
        <v/>
      </c>
    </row>
    <row r="168" ht="75" customHeight="1">
      <c r="A168" s="12" t="inlineStr">
        <is>
          <t>D15</t>
        </is>
      </c>
      <c r="B168" s="12" t="inlineStr">
        <is>
          <t>15.12</t>
        </is>
      </c>
      <c r="C168" s="12" t="inlineStr">
        <is>
          <t>Las bases de datos se respaldan y se prueba su restauración. Verificar: última prueba documentada.</t>
        </is>
      </c>
      <c r="D168" s="12" t="inlineStr">
        <is>
          <t>• 8.13 · Respaldo de información
• CIS 11 · Recuperación de datos
• NIST RC.RP-03 · Verificación de integridad de respaldos antes de restaurar</t>
        </is>
      </c>
      <c r="E168" s="33">
        <f>IFERROR(AVERAGE('Controles marcos'!$E$73,'Controles marcos'!$E$145,'Controles marcos'!$E$136),"")</f>
        <v/>
      </c>
      <c r="F168" s="9" t="n"/>
      <c r="G168" s="9" t="n"/>
      <c r="H168" s="9" t="n"/>
      <c r="I168" s="9" t="n"/>
      <c r="J168" s="12" t="inlineStr">
        <is>
          <t>Obligatorio Ley 21.719</t>
        </is>
      </c>
      <c r="K168" s="34" t="inlineStr">
        <is>
          <t>Sí</t>
        </is>
      </c>
      <c r="L168" s="23">
        <f>IF(AND(K168="Sí",ISNUMBER(E168)),E168,"")</f>
        <v/>
      </c>
    </row>
    <row r="169" ht="75" customHeight="1">
      <c r="A169" s="12" t="inlineStr">
        <is>
          <t>D15</t>
        </is>
      </c>
      <c r="B169" s="12" t="inlineStr">
        <is>
          <t>15.13</t>
        </is>
      </c>
      <c r="C169" s="12" t="inlineStr">
        <is>
          <t>Los entornos de pago (ecommerce, POS y bodegas) tienen configuración segura (PCI DSS 2 y 5). Verificar: aplica solo si procesa tarjetas.</t>
        </is>
      </c>
      <c r="D169" s="12" t="inlineStr">
        <is>
          <t>• PCI Req 2 · Configuraciones seguras en todos los componentes
• PCI Req 5 · Protección de sistemas contra software malicioso</t>
        </is>
      </c>
      <c r="E169" s="33">
        <f>IFERROR(AVERAGE('Controles marcos'!$E$158,'Controles marcos'!$E$159),"")</f>
        <v/>
      </c>
      <c r="F169" s="9" t="n"/>
      <c r="G169" s="9" t="n"/>
      <c r="H169" s="9" t="n"/>
      <c r="I169" s="9" t="n"/>
      <c r="J169" s="12" t="inlineStr">
        <is>
          <t>Extra (marco o buena práctica)</t>
        </is>
      </c>
      <c r="K169" s="34" t="inlineStr">
        <is>
          <t>No</t>
        </is>
      </c>
      <c r="L169" s="23">
        <f>IF(AND(K169="Sí",ISNUMBER(E169)),E169,"")</f>
        <v/>
      </c>
    </row>
    <row r="170" ht="75" customHeight="1">
      <c r="A170" s="12" t="inlineStr">
        <is>
          <t>D15</t>
        </is>
      </c>
      <c r="B170" s="12" t="inlineStr">
        <is>
          <t>15.14</t>
        </is>
      </c>
      <c r="C170" s="12" t="inlineStr">
        <is>
          <t>La recuperación ante desastres tiene RTO y RPO probados para bases de datos y sistemas críticos. Verificar: valores definidos y última prueba.</t>
        </is>
      </c>
      <c r="D170" s="12" t="inlineStr">
        <is>
          <t>• 5.30 · Preparación TIC para continuidad
• 8.14 · Redundancia de instalaciones de procesamiento</t>
        </is>
      </c>
      <c r="E170" s="33">
        <f>IFERROR(AVERAGE('Controles marcos'!$E$31,'Controles marcos'!$E$74),"")</f>
        <v/>
      </c>
      <c r="F170" s="9" t="n"/>
      <c r="G170" s="9" t="n"/>
      <c r="H170" s="9" t="n"/>
      <c r="I170" s="9" t="n"/>
      <c r="J170" s="12" t="inlineStr">
        <is>
          <t>Obligatorio Ley 21.719</t>
        </is>
      </c>
      <c r="K170" s="34" t="inlineStr">
        <is>
          <t>Sí</t>
        </is>
      </c>
      <c r="L170" s="23">
        <f>IF(AND(K170="Sí",ISNUMBER(E170)),E170,"")</f>
        <v/>
      </c>
    </row>
    <row r="171" ht="75" customHeight="1">
      <c r="A171" s="12" t="inlineStr">
        <is>
          <t>D16</t>
        </is>
      </c>
      <c r="B171" s="12" t="inlineStr">
        <is>
          <t>16.1</t>
        </is>
      </c>
      <c r="C171" s="12" t="inlineStr">
        <is>
          <t>Los cambios se evalúan por impacto en privacidad antes de aprobarse (COBIT BAI06). Verificar: formulario de cambio.</t>
        </is>
      </c>
      <c r="D171" s="12" t="inlineStr">
        <is>
          <t>• COBIT BAI06 · proceso COBIT 5
• 8.32 · Gestión de cambios</t>
        </is>
      </c>
      <c r="E171" s="33">
        <f>IFERROR(AVERAGE('Controles marcos'!$E$154,'Controles marcos'!$E$92),"")</f>
        <v/>
      </c>
      <c r="F171" s="9" t="n"/>
      <c r="G171" s="9" t="n"/>
      <c r="H171" s="9" t="n"/>
      <c r="I171" s="9" t="n"/>
      <c r="J171" s="12" t="inlineStr">
        <is>
          <t>Extra (marco o buena práctica)</t>
        </is>
      </c>
      <c r="K171" s="34" t="inlineStr">
        <is>
          <t>No</t>
        </is>
      </c>
      <c r="L171" s="23">
        <f>IF(AND(K171="Sí",ISNUMBER(E171)),E171,"")</f>
        <v/>
      </c>
    </row>
    <row r="172" ht="75" customHeight="1">
      <c r="A172" s="12" t="inlineStr">
        <is>
          <t>D16</t>
        </is>
      </c>
      <c r="B172" s="12" t="inlineStr">
        <is>
          <t>16.2</t>
        </is>
      </c>
      <c r="C172" s="12" t="inlineStr">
        <is>
          <t>Los cambios se aceptan formalmente antes de pasar a producción (COBIT BAI07). Verificar: aprobación registrada.</t>
        </is>
      </c>
      <c r="D172" s="12" t="inlineStr">
        <is>
          <t>• COBIT BAI07 · proceso COBIT 5
• 8.29 · Pruebas de seguridad en desarrollo y aceptación</t>
        </is>
      </c>
      <c r="E172" s="33">
        <f>IFERROR(AVERAGE('Controles marcos'!$E$155,'Controles marcos'!$E$89),"")</f>
        <v/>
      </c>
      <c r="F172" s="9" t="n"/>
      <c r="G172" s="9" t="n"/>
      <c r="H172" s="9" t="n"/>
      <c r="I172" s="9" t="n"/>
      <c r="J172" s="12" t="inlineStr">
        <is>
          <t>Extra (marco o buena práctica)</t>
        </is>
      </c>
      <c r="K172" s="34" t="inlineStr">
        <is>
          <t>No</t>
        </is>
      </c>
      <c r="L172" s="23">
        <f>IF(AND(K172="Sí",ISNUMBER(E172)),E172,"")</f>
        <v/>
      </c>
    </row>
    <row r="173" ht="75" customHeight="1">
      <c r="A173" s="12" t="inlineStr">
        <is>
          <t>D16</t>
        </is>
      </c>
      <c r="B173" s="12" t="inlineStr">
        <is>
          <t>16.3</t>
        </is>
      </c>
      <c r="C173" s="12" t="inlineStr">
        <is>
          <t>Los activos de TI se gestionan durante todo su ciclo de vida (COBIT BAI09). Verificar: inventario con estado y responsable.</t>
        </is>
      </c>
      <c r="D173" s="12" t="inlineStr">
        <is>
          <t>• COBIT BAI09 · proceso COBIT 5
• 5.9 · Inventario de información y activos</t>
        </is>
      </c>
      <c r="E173" s="33">
        <f>IFERROR(AVERAGE('Controles marcos'!$E$156,'Controles marcos'!$E$10),"")</f>
        <v/>
      </c>
      <c r="F173" s="9" t="n"/>
      <c r="G173" s="9" t="n"/>
      <c r="H173" s="9" t="n"/>
      <c r="I173" s="9" t="n"/>
      <c r="J173" s="12" t="inlineStr">
        <is>
          <t>Extra (marco o buena práctica)</t>
        </is>
      </c>
      <c r="K173" s="34" t="inlineStr">
        <is>
          <t>No</t>
        </is>
      </c>
      <c r="L173" s="23">
        <f>IF(AND(K173="Sí",ISNUMBER(E173)),E173,"")</f>
        <v/>
      </c>
    </row>
    <row r="174" ht="75" customHeight="1">
      <c r="A174" s="12" t="inlineStr">
        <is>
          <t>D16</t>
        </is>
      </c>
      <c r="B174" s="12" t="inlineStr">
        <is>
          <t>16.4</t>
        </is>
      </c>
      <c r="C174" s="12" t="inlineStr">
        <is>
          <t>La configuración de los elementos de TI se registra y se mantiene actualizada (COBIT BAI10). Verificar: registro de configuración (CMDB u otro).</t>
        </is>
      </c>
      <c r="D174" s="12" t="inlineStr">
        <is>
          <t>• COBIT BAI10 · proceso COBIT 5
• 8.9 · Gestión de la configuración</t>
        </is>
      </c>
      <c r="E174" s="33">
        <f>IFERROR(AVERAGE('Controles marcos'!$E$157,'Controles marcos'!$E$69),"")</f>
        <v/>
      </c>
      <c r="F174" s="9" t="n"/>
      <c r="G174" s="9" t="n"/>
      <c r="H174" s="9" t="n"/>
      <c r="I174" s="9" t="n"/>
      <c r="J174" s="12" t="inlineStr">
        <is>
          <t>Extra (marco o buena práctica)</t>
        </is>
      </c>
      <c r="K174" s="34" t="inlineStr">
        <is>
          <t>No</t>
        </is>
      </c>
      <c r="L174" s="23">
        <f>IF(AND(K174="Sí",ISNUMBER(E174)),E174,"")</f>
        <v/>
      </c>
    </row>
    <row r="175" ht="75" customHeight="1">
      <c r="A175" s="12" t="inlineStr">
        <is>
          <t>D16</t>
        </is>
      </c>
      <c r="B175" s="12" t="inlineStr">
        <is>
          <t>16.5</t>
        </is>
      </c>
      <c r="C175" s="12" t="inlineStr">
        <is>
          <t>El riesgo de TI se integra con la gestión de riesgos del SGSI y se reporta a la dirección. Verificar: último reporte de riesgo.</t>
        </is>
      </c>
      <c r="D175" s="12" t="inlineStr">
        <is>
          <t>• NIST GV.RR-03 · Recursos asignados a la ciberseguridad
• NIST GV.OC-02 · Partes interesadas y sus expectativas</t>
        </is>
      </c>
      <c r="E175" s="33">
        <f>IFERROR(AVERAGE('Controles marcos'!$E$102,'Controles marcos'!$E$96),"")</f>
        <v/>
      </c>
      <c r="F175" s="9" t="n"/>
      <c r="G175" s="9" t="n"/>
      <c r="H175" s="9" t="n"/>
      <c r="I175" s="9" t="n"/>
      <c r="J175" s="12" t="inlineStr">
        <is>
          <t>Extra (marco o buena práctica)</t>
        </is>
      </c>
      <c r="K175" s="34" t="inlineStr">
        <is>
          <t>No</t>
        </is>
      </c>
      <c r="L175" s="23">
        <f>IF(AND(K175="Sí",ISNUMBER(E175)),E175,"")</f>
        <v/>
      </c>
    </row>
    <row r="176" ht="75" customHeight="1">
      <c r="A176" s="12" t="inlineStr">
        <is>
          <t>D17</t>
        </is>
      </c>
      <c r="B176" s="12" t="inlineStr">
        <is>
          <t>17.1</t>
        </is>
      </c>
      <c r="C176" s="12" t="inlineStr">
        <is>
          <t>Los candidatos reciben un aviso de privacidad y su CV y entrevistas se usan solo para la selección. Verificar: aviso en el proceso de postulación.</t>
        </is>
      </c>
      <c r="D176" s="12" t="inlineStr">
        <is>
          <t>• 5.34 · Privacidad y protección de datos personales
• 6.1 · Selección de personal</t>
        </is>
      </c>
      <c r="E176" s="33">
        <f>IFERROR(AVERAGE('Controles marcos'!$E$35,'Controles marcos'!$E$39),"")</f>
        <v/>
      </c>
      <c r="F176" s="9" t="n"/>
      <c r="G176" s="9" t="n"/>
      <c r="H176" s="9" t="n"/>
      <c r="I176" s="9" t="n"/>
      <c r="J176" s="12" t="inlineStr">
        <is>
          <t>Obligatorio Ley 21.719</t>
        </is>
      </c>
      <c r="K176" s="34" t="inlineStr">
        <is>
          <t>Sí</t>
        </is>
      </c>
      <c r="L176" s="23">
        <f>IF(AND(K176="Sí",ISNUMBER(E176)),E176,"")</f>
        <v/>
      </c>
    </row>
    <row r="177" ht="75" customHeight="1">
      <c r="A177" s="12" t="inlineStr">
        <is>
          <t>D17</t>
        </is>
      </c>
      <c r="B177" s="12" t="inlineStr">
        <is>
          <t>17.2</t>
        </is>
      </c>
      <c r="C177" s="12" t="inlineStr">
        <is>
          <t>Los CV de candidatos no contratados se eliminan al cumplirse un plazo definido. Verificar: plazo y evidencia de eliminación.</t>
        </is>
      </c>
      <c r="D177" s="12" t="inlineStr">
        <is>
          <t>• 8.10 · Eliminación de información
• 5.33 · Protección de registros</t>
        </is>
      </c>
      <c r="E177" s="33">
        <f>IFERROR(AVERAGE('Controles marcos'!$E$70,'Controles marcos'!$E$34),"")</f>
        <v/>
      </c>
      <c r="F177" s="9" t="n"/>
      <c r="G177" s="9" t="n"/>
      <c r="H177" s="9" t="n"/>
      <c r="I177" s="9" t="n"/>
      <c r="J177" s="12" t="inlineStr">
        <is>
          <t>Obligatorio Ley 21.719</t>
        </is>
      </c>
      <c r="K177" s="34" t="inlineStr">
        <is>
          <t>Sí</t>
        </is>
      </c>
      <c r="L177" s="23">
        <f>IF(AND(K177="Sí",ISNUMBER(E177)),E177,"")</f>
        <v/>
      </c>
    </row>
    <row r="178" ht="75" customHeight="1">
      <c r="A178" s="12" t="inlineStr">
        <is>
          <t>D17</t>
        </is>
      </c>
      <c r="B178" s="12" t="inlineStr">
        <is>
          <t>17.3</t>
        </is>
      </c>
      <c r="C178" s="12" t="inlineStr">
        <is>
          <t>Las evaluaciones psicológicas, tests y perfilamiento de candidatos tienen base legal y decisiones revisadas por una persona. Verificar: qué tests se usan y quién decide.</t>
        </is>
      </c>
      <c r="D178" s="12" t="inlineStr">
        <is>
          <t>• 5.34 · Privacidad y protección de datos personales
• 6.1 · Selección de personal</t>
        </is>
      </c>
      <c r="E178" s="33">
        <f>IFERROR(AVERAGE('Controles marcos'!$E$35,'Controles marcos'!$E$39),"")</f>
        <v/>
      </c>
      <c r="F178" s="9" t="n"/>
      <c r="G178" s="9" t="n"/>
      <c r="H178" s="9" t="n"/>
      <c r="I178" s="9" t="n"/>
      <c r="J178" s="12" t="inlineStr">
        <is>
          <t>Obligatorio Ley 21.719</t>
        </is>
      </c>
      <c r="K178" s="34" t="inlineStr">
        <is>
          <t>Sí</t>
        </is>
      </c>
      <c r="L178" s="23">
        <f>IF(AND(K178="Sí",ISNUMBER(E178)),E178,"")</f>
        <v/>
      </c>
    </row>
    <row r="179" ht="75" customHeight="1">
      <c r="A179" s="12" t="inlineStr">
        <is>
          <t>D17</t>
        </is>
      </c>
      <c r="B179" s="12" t="inlineStr">
        <is>
          <t>17.4</t>
        </is>
      </c>
      <c r="C179" s="12" t="inlineStr">
        <is>
          <t>Los contratos de trabajo y sus anexos incluyen cláusulas de privacidad y confidencialidad. Verificar: contrato tipo y anexos.</t>
        </is>
      </c>
      <c r="D179" s="12" t="inlineStr">
        <is>
          <t>• 6.2 · Términos y condiciones de empleo
• 6.6 · Acuerdos de confidencialidad</t>
        </is>
      </c>
      <c r="E179" s="33">
        <f>IFERROR(AVERAGE('Controles marcos'!$E$40,'Controles marcos'!$E$44),"")</f>
        <v/>
      </c>
      <c r="F179" s="9" t="n"/>
      <c r="G179" s="9" t="n"/>
      <c r="H179" s="9" t="n"/>
      <c r="I179" s="9" t="n"/>
      <c r="J179" s="12" t="inlineStr">
        <is>
          <t>Obligatorio Ley 21.719</t>
        </is>
      </c>
      <c r="K179" s="34" t="inlineStr">
        <is>
          <t>Sí</t>
        </is>
      </c>
      <c r="L179" s="23">
        <f>IF(AND(K179="Sí",ISNUMBER(E179)),E179,"")</f>
        <v/>
      </c>
    </row>
    <row r="180" ht="75" customHeight="1">
      <c r="A180" s="12" t="inlineStr">
        <is>
          <t>D17</t>
        </is>
      </c>
      <c r="B180" s="12" t="inlineStr">
        <is>
          <t>17.5</t>
        </is>
      </c>
      <c r="C180" s="12" t="inlineStr">
        <is>
          <t>En el onboarding se entregan las políticas y se asignan accesos según el rol aprobado. Verificar: checklist de ingreso.</t>
        </is>
      </c>
      <c r="D180" s="12" t="inlineStr">
        <is>
          <t>• 6.3 · Concientización, educación y capacitación en SI
• 5.18 · Derechos de acceso</t>
        </is>
      </c>
      <c r="E180" s="33">
        <f>IFERROR(AVERAGE('Controles marcos'!$E$41,'Controles marcos'!$E$19),"")</f>
        <v/>
      </c>
      <c r="F180" s="9" t="n"/>
      <c r="G180" s="9" t="n"/>
      <c r="H180" s="9" t="n"/>
      <c r="I180" s="9" t="n"/>
      <c r="J180" s="12" t="inlineStr">
        <is>
          <t>Obligatorio Ley 21.719</t>
        </is>
      </c>
      <c r="K180" s="34" t="inlineStr">
        <is>
          <t>Sí</t>
        </is>
      </c>
      <c r="L180" s="23">
        <f>IF(AND(K180="Sí",ISNUMBER(E180)),E180,"")</f>
        <v/>
      </c>
    </row>
    <row r="181" ht="75" customHeight="1">
      <c r="A181" s="12" t="inlineStr">
        <is>
          <t>D17</t>
        </is>
      </c>
      <c r="B181" s="12" t="inlineStr">
        <is>
          <t>17.6</t>
        </is>
      </c>
      <c r="C181" s="12" t="inlineStr">
        <is>
          <t>En el offboarding se revocan accesos, se devuelven activos y se cierra el expediente. Verificar: checklist de salida con fechas.</t>
        </is>
      </c>
      <c r="D181" s="12" t="inlineStr">
        <is>
          <t>• 6.5 · Responsabilidades ante terminación o cambio de empleo
• 5.11 · Devolución de activos
• 5.18 · Derechos de acceso</t>
        </is>
      </c>
      <c r="E181" s="33">
        <f>IFERROR(AVERAGE('Controles marcos'!$E$43,'Controles marcos'!$E$12,'Controles marcos'!$E$19),"")</f>
        <v/>
      </c>
      <c r="F181" s="9" t="n"/>
      <c r="G181" s="9" t="n"/>
      <c r="H181" s="9" t="n"/>
      <c r="I181" s="9" t="n"/>
      <c r="J181" s="12" t="inlineStr">
        <is>
          <t>Obligatorio Ley 21.719</t>
        </is>
      </c>
      <c r="K181" s="34" t="inlineStr">
        <is>
          <t>Sí</t>
        </is>
      </c>
      <c r="L181" s="23">
        <f>IF(AND(K181="Sí",ISNUMBER(E181)),E181,"")</f>
        <v/>
      </c>
    </row>
    <row r="182" ht="75" customHeight="1">
      <c r="A182" s="12" t="inlineStr">
        <is>
          <t>D17</t>
        </is>
      </c>
      <c r="B182" s="12" t="inlineStr">
        <is>
          <t>17.7</t>
        </is>
      </c>
      <c r="C182" s="12" t="inlineStr">
        <is>
          <t>El expediente de cada empleado tiene acceso restringido, plazo de retención y eliminación al vencer. Verificar: quién accede al expediente y plazo aplicado.</t>
        </is>
      </c>
      <c r="D182" s="12" t="inlineStr">
        <is>
          <t>• 5.33 · Protección de registros
• 8.10 · Eliminación de información</t>
        </is>
      </c>
      <c r="E182" s="33">
        <f>IFERROR(AVERAGE('Controles marcos'!$E$34,'Controles marcos'!$E$70),"")</f>
        <v/>
      </c>
      <c r="F182" s="9" t="n"/>
      <c r="G182" s="9" t="n"/>
      <c r="H182" s="9" t="n"/>
      <c r="I182" s="9" t="n"/>
      <c r="J182" s="12" t="inlineStr">
        <is>
          <t>Obligatorio Ley 21.719</t>
        </is>
      </c>
      <c r="K182" s="34" t="inlineStr">
        <is>
          <t>Sí</t>
        </is>
      </c>
      <c r="L182" s="23">
        <f>IF(AND(K182="Sí",ISNUMBER(E182)),E182,"")</f>
        <v/>
      </c>
    </row>
    <row r="183" ht="75" customHeight="1">
      <c r="A183" s="12" t="inlineStr">
        <is>
          <t>D17</t>
        </is>
      </c>
      <c r="B183" s="12" t="inlineStr">
        <is>
          <t>17.8</t>
        </is>
      </c>
      <c r="C183" s="12" t="inlineStr">
        <is>
          <t>Los datos de salud (licencias médicas, certificados) están separados del expediente general y con acceso restringido. Verificar: dónde se guardan y quién los ve.</t>
        </is>
      </c>
      <c r="D183" s="12" t="inlineStr">
        <is>
          <t>• 5.34 · Privacidad y protección de datos personales
• 8.11 · Enmascaramiento de datos</t>
        </is>
      </c>
      <c r="E183" s="33">
        <f>IFERROR(AVERAGE('Controles marcos'!$E$35,'Controles marcos'!$E$71),"")</f>
        <v/>
      </c>
      <c r="F183" s="9" t="n"/>
      <c r="G183" s="9" t="n"/>
      <c r="H183" s="9" t="n"/>
      <c r="I183" s="9" t="n"/>
      <c r="J183" s="12" t="inlineStr">
        <is>
          <t>Obligatorio Ley 21.719</t>
        </is>
      </c>
      <c r="K183" s="34" t="inlineStr">
        <is>
          <t>Sí</t>
        </is>
      </c>
      <c r="L183" s="23">
        <f>IF(AND(K183="Sí",ISNUMBER(E183)),E183,"")</f>
        <v/>
      </c>
    </row>
    <row r="184" ht="75" customHeight="1">
      <c r="A184" s="12" t="inlineStr">
        <is>
          <t>D17</t>
        </is>
      </c>
      <c r="B184" s="12" t="inlineStr">
        <is>
          <t>17.9</t>
        </is>
      </c>
      <c r="C184" s="12" t="inlineStr">
        <is>
          <t>Las evaluaciones de desempeño y de otro tipo tienen finalidad declarada, y el titular puede acceder a su resultado. Verificar: política de evaluaciones.</t>
        </is>
      </c>
      <c r="D184" s="12" t="inlineStr">
        <is>
          <t>• 5.34 · Privacidad y protección de datos personales
• 5.37 · Procedimientos de operación documentados</t>
        </is>
      </c>
      <c r="E184" s="33">
        <f>IFERROR(AVERAGE('Controles marcos'!$E$35,'Controles marcos'!$E$38),"")</f>
        <v/>
      </c>
      <c r="F184" s="9" t="n"/>
      <c r="G184" s="9" t="n"/>
      <c r="H184" s="9" t="n"/>
      <c r="I184" s="9" t="n"/>
      <c r="J184" s="12" t="inlineStr">
        <is>
          <t>Obligatorio Ley 21.719</t>
        </is>
      </c>
      <c r="K184" s="34" t="inlineStr">
        <is>
          <t>Sí</t>
        </is>
      </c>
      <c r="L184" s="23">
        <f>IF(AND(K184="Sí",ISNUMBER(E184)),E184,"")</f>
        <v/>
      </c>
    </row>
    <row r="185" ht="75" customHeight="1">
      <c r="A185" s="12" t="inlineStr">
        <is>
          <t>D17</t>
        </is>
      </c>
      <c r="B185" s="12" t="inlineStr">
        <is>
          <t>17.10</t>
        </is>
      </c>
      <c r="C185" s="12" t="inlineStr">
        <is>
          <t>Los registros de capacitación y cursos tienen retención y acceso definidos. Verificar: dónde se guardan y por cuánto tiempo.</t>
        </is>
      </c>
      <c r="D185" s="12" t="inlineStr">
        <is>
          <t>• 6.3 · Concientización, educación y capacitación en SI</t>
        </is>
      </c>
      <c r="E185" s="33">
        <f>IFERROR(AVERAGE('Controles marcos'!$E$41),"")</f>
        <v/>
      </c>
      <c r="F185" s="9" t="n"/>
      <c r="G185" s="9" t="n"/>
      <c r="H185" s="9" t="n"/>
      <c r="I185" s="9" t="n"/>
      <c r="J185" s="12" t="inlineStr">
        <is>
          <t>Obligatorio Ley 21.719</t>
        </is>
      </c>
      <c r="K185" s="34" t="inlineStr">
        <is>
          <t>Sí</t>
        </is>
      </c>
      <c r="L185" s="23">
        <f>IF(AND(K185="Sí",ISNUMBER(E185)),E185,"")</f>
        <v/>
      </c>
    </row>
    <row r="186" ht="75" customHeight="1">
      <c r="A186" s="12" t="inlineStr">
        <is>
          <t>D17</t>
        </is>
      </c>
      <c r="B186" s="12" t="inlineStr">
        <is>
          <t>17.11</t>
        </is>
      </c>
      <c r="C186" s="12" t="inlineStr">
        <is>
          <t>El control de asistencia y acceso con huella o reconocimiento facial trata un dato biométrico: exige consentimiento explícito y medidas reforzadas. Verificar: si el control usa biometría y, de ser así, el consentimiento obtenido.</t>
        </is>
      </c>
      <c r="D186" s="12" t="inlineStr">
        <is>
          <t>• 5.34 · Privacidad y protección de datos personales
• 7.2 · Controles de entrada física
• 8.15 · Registro de actividades (logging)</t>
        </is>
      </c>
      <c r="E186" s="33">
        <f>IFERROR(AVERAGE('Controles marcos'!$E$35,'Controles marcos'!$E$48,'Controles marcos'!$E$75),"")</f>
        <v/>
      </c>
      <c r="F186" s="9" t="n"/>
      <c r="G186" s="9" t="n"/>
      <c r="H186" s="9" t="n"/>
      <c r="I186" s="9" t="n"/>
      <c r="J186" s="12" t="inlineStr">
        <is>
          <t>Obligatorio Ley 21.719</t>
        </is>
      </c>
      <c r="K186" s="34" t="inlineStr">
        <is>
          <t>Sí</t>
        </is>
      </c>
      <c r="L186" s="23">
        <f>IF(AND(K186="Sí",ISNUMBER(E186)),E186,"")</f>
        <v/>
      </c>
    </row>
    <row r="187" ht="75" customHeight="1">
      <c r="A187" s="12" t="inlineStr">
        <is>
          <t>D17</t>
        </is>
      </c>
      <c r="B187" s="12" t="inlineStr">
        <is>
          <t>17.12</t>
        </is>
      </c>
      <c r="C187" s="12" t="inlineStr">
        <is>
          <t>La videovigilancia en tiendas y bodegas tiene aviso visible, finalidad definida y plazo de retención. Verificar: avisos instalados y plazo de grabación.</t>
        </is>
      </c>
      <c r="D187" s="12" t="inlineStr">
        <is>
          <t>• 7.4 · Monitoreo de seguridad física
• 5.34 · Privacidad y protección de datos personales</t>
        </is>
      </c>
      <c r="E187" s="33">
        <f>IFERROR(AVERAGE('Controles marcos'!$E$50,'Controles marcos'!$E$35),"")</f>
        <v/>
      </c>
      <c r="F187" s="9" t="n"/>
      <c r="G187" s="9" t="n"/>
      <c r="H187" s="9" t="n"/>
      <c r="I187" s="9" t="n"/>
      <c r="J187" s="12" t="inlineStr">
        <is>
          <t>Obligatorio Ley 21.719</t>
        </is>
      </c>
      <c r="K187" s="34" t="inlineStr">
        <is>
          <t>Sí</t>
        </is>
      </c>
      <c r="L187" s="23">
        <f>IF(AND(K187="Sí",ISNUMBER(E187)),E187,"")</f>
        <v/>
      </c>
    </row>
    <row r="188" ht="75" customHeight="1">
      <c r="A188" s="12" t="inlineStr">
        <is>
          <t>D17</t>
        </is>
      </c>
      <c r="B188" s="12" t="inlineStr">
        <is>
          <t>17.13</t>
        </is>
      </c>
      <c r="C188" s="12" t="inlineStr">
        <is>
          <t>El monitoreo del correo y los equipos de trabajo está informado al personal y es proporcional. Verificar: política de monitoreo firmada.</t>
        </is>
      </c>
      <c r="D188" s="12" t="inlineStr">
        <is>
          <t>• 5.34 · Privacidad y protección de datos personales
• 8.15 · Registro de actividades (logging)</t>
        </is>
      </c>
      <c r="E188" s="33">
        <f>IFERROR(AVERAGE('Controles marcos'!$E$35,'Controles marcos'!$E$75),"")</f>
        <v/>
      </c>
      <c r="F188" s="9" t="n"/>
      <c r="G188" s="9" t="n"/>
      <c r="H188" s="9" t="n"/>
      <c r="I188" s="9" t="n"/>
      <c r="J188" s="12" t="inlineStr">
        <is>
          <t>Obligatorio Ley 21.719</t>
        </is>
      </c>
      <c r="K188" s="34" t="inlineStr">
        <is>
          <t>Sí</t>
        </is>
      </c>
      <c r="L188" s="23">
        <f>IF(AND(K188="Sí",ISNUMBER(E188)),E188,"")</f>
        <v/>
      </c>
    </row>
    <row r="189" ht="75" customHeight="1">
      <c r="A189" s="12" t="inlineStr">
        <is>
          <t>D17</t>
        </is>
      </c>
      <c r="B189" s="12" t="inlineStr">
        <is>
          <t>17.14</t>
        </is>
      </c>
      <c r="C189" s="12" t="inlineStr">
        <is>
          <t>La transferencia de datos de nómina a previsión y salud tiene base legal documentada. Verificar: convenio o base legal de cada transferencia.</t>
        </is>
      </c>
      <c r="D189" s="12" t="inlineStr">
        <is>
          <t>• 5.19 · Seguridad en relaciones con proveedores
• 5.14 · Transferencia de información</t>
        </is>
      </c>
      <c r="E189" s="33">
        <f>IFERROR(AVERAGE('Controles marcos'!$E$20,'Controles marcos'!$E$15),"")</f>
        <v/>
      </c>
      <c r="F189" s="9" t="n"/>
      <c r="G189" s="9" t="n"/>
      <c r="H189" s="9" t="n"/>
      <c r="I189" s="9" t="n"/>
      <c r="J189" s="12" t="inlineStr">
        <is>
          <t>Obligatorio Ley 21.719</t>
        </is>
      </c>
      <c r="K189" s="34" t="inlineStr">
        <is>
          <t>Sí</t>
        </is>
      </c>
      <c r="L189" s="23">
        <f>IF(AND(K189="Sí",ISNUMBER(E189)),E189,"")</f>
        <v/>
      </c>
    </row>
    <row r="190" ht="75" customHeight="1">
      <c r="A190" s="12" t="inlineStr">
        <is>
          <t>D18</t>
        </is>
      </c>
      <c r="B190" s="12" t="inlineStr">
        <is>
          <t>18.1</t>
        </is>
      </c>
      <c r="C190" s="12" t="inlineStr">
        <is>
          <t>El origen de las bases de datos de clientes, leads y prospectos (propias o compradas) está documentado y es lícito. Verificar: origen y contrato de cada base comprada.</t>
        </is>
      </c>
      <c r="D190" s="12" t="inlineStr">
        <is>
          <t>• 5.34 · Privacidad y protección de datos personales
• 5.14 · Transferencia de información</t>
        </is>
      </c>
      <c r="E190" s="33">
        <f>IFERROR(AVERAGE('Controles marcos'!$E$35,'Controles marcos'!$E$15),"")</f>
        <v/>
      </c>
      <c r="F190" s="9" t="n"/>
      <c r="G190" s="9" t="n"/>
      <c r="H190" s="9" t="n"/>
      <c r="I190" s="9" t="n"/>
      <c r="J190" s="12" t="inlineStr">
        <is>
          <t>Obligatorio Ley 21.719</t>
        </is>
      </c>
      <c r="K190" s="34" t="inlineStr">
        <is>
          <t>Sí</t>
        </is>
      </c>
      <c r="L190" s="23">
        <f>IF(AND(K190="Sí",ISNUMBER(E190)),E190,"")</f>
        <v/>
      </c>
    </row>
    <row r="191" ht="75" customHeight="1">
      <c r="A191" s="12" t="inlineStr">
        <is>
          <t>D18</t>
        </is>
      </c>
      <c r="B191" s="12" t="inlineStr">
        <is>
          <t>18.2</t>
        </is>
      </c>
      <c r="C191" s="12" t="inlineStr">
        <is>
          <t>El marketing a personas naturales requiere consentimiento; la prospección B2B tiene base legal documentada. Verificar: formularios y base legal del envío comercial.</t>
        </is>
      </c>
      <c r="D191" s="12" t="inlineStr">
        <is>
          <t>• 5.34 · Privacidad y protección de datos personales</t>
        </is>
      </c>
      <c r="E191" s="33">
        <f>IFERROR(AVERAGE('Controles marcos'!$E$35),"")</f>
        <v/>
      </c>
      <c r="F191" s="9" t="n"/>
      <c r="G191" s="9" t="n"/>
      <c r="H191" s="9" t="n"/>
      <c r="I191" s="9" t="n"/>
      <c r="J191" s="12" t="inlineStr">
        <is>
          <t>Obligatorio Ley 21.719</t>
        </is>
      </c>
      <c r="K191" s="34" t="inlineStr">
        <is>
          <t>Sí</t>
        </is>
      </c>
      <c r="L191" s="23">
        <f>IF(AND(K191="Sí",ISNUMBER(E191)),E191,"")</f>
        <v/>
      </c>
    </row>
    <row r="192" ht="75" customHeight="1">
      <c r="A192" s="12" t="inlineStr">
        <is>
          <t>D18</t>
        </is>
      </c>
      <c r="B192" s="12" t="inlineStr">
        <is>
          <t>18.3</t>
        </is>
      </c>
      <c r="C192" s="12" t="inlineStr">
        <is>
          <t>Las cookies y el seguimiento web requieren consentimiento previo, y los terceros que rastrean están informados. Verificar: banner de cookies y lista de terceros.</t>
        </is>
      </c>
      <c r="D192" s="12" t="inlineStr">
        <is>
          <t>• 5.34 · Privacidad y protección de datos personales
• 8.23 · Filtrado web</t>
        </is>
      </c>
      <c r="E192" s="33">
        <f>IFERROR(AVERAGE('Controles marcos'!$E$35,'Controles marcos'!$E$83),"")</f>
        <v/>
      </c>
      <c r="F192" s="9" t="n"/>
      <c r="G192" s="9" t="n"/>
      <c r="H192" s="9" t="n"/>
      <c r="I192" s="9" t="n"/>
      <c r="J192" s="12" t="inlineStr">
        <is>
          <t>Obligatorio Ley 21.719</t>
        </is>
      </c>
      <c r="K192" s="34" t="inlineStr">
        <is>
          <t>Sí</t>
        </is>
      </c>
      <c r="L192" s="23">
        <f>IF(AND(K192="Sí",ISNUMBER(E192)),E192,"")</f>
        <v/>
      </c>
    </row>
    <row r="193" ht="75" customHeight="1">
      <c r="A193" s="12" t="inlineStr">
        <is>
          <t>D18</t>
        </is>
      </c>
      <c r="B193" s="12" t="inlineStr">
        <is>
          <t>18.4</t>
        </is>
      </c>
      <c r="C193" s="12" t="inlineStr">
        <is>
          <t>Los datos de compras y pagos en ecommerce tienen control de acceso y cifrado. Verificar: configuración de la plataforma de venta.</t>
        </is>
      </c>
      <c r="D193" s="12" t="inlineStr">
        <is>
          <t>• 8.24 · Uso de criptografía
• PCI Req 7 · Acceso restringido según necesidad de saber</t>
        </is>
      </c>
      <c r="E193" s="33">
        <f>IFERROR(AVERAGE('Controles marcos'!$E$84,'Controles marcos'!$E$160),"")</f>
        <v/>
      </c>
      <c r="F193" s="9" t="n"/>
      <c r="G193" s="9" t="n"/>
      <c r="H193" s="9" t="n"/>
      <c r="I193" s="9" t="n"/>
      <c r="J193" s="12" t="inlineStr">
        <is>
          <t>Obligatorio Ley 21.719</t>
        </is>
      </c>
      <c r="K193" s="34" t="inlineStr">
        <is>
          <t>Sí</t>
        </is>
      </c>
      <c r="L193" s="23">
        <f>IF(AND(K193="Sí",ISNUMBER(E193)),E193,"")</f>
        <v/>
      </c>
    </row>
    <row r="194" ht="75" customHeight="1">
      <c r="A194" s="12" t="inlineStr">
        <is>
          <t>D18</t>
        </is>
      </c>
      <c r="B194" s="12" t="inlineStr">
        <is>
          <t>18.5</t>
        </is>
      </c>
      <c r="C194" s="12" t="inlineStr">
        <is>
          <t>El perfilamiento y la segmentación de clientes se informan al titular y, si aplica, tienen evaluación de impacto. Verificar: si hay perfilamiento y cómo se informa.</t>
        </is>
      </c>
      <c r="D194" s="12" t="inlineStr">
        <is>
          <t>• 5.34 · Privacidad y protección de datos personales
• 5.8 · SI en gestión de proyectos</t>
        </is>
      </c>
      <c r="E194" s="33">
        <f>IFERROR(AVERAGE('Controles marcos'!$E$35,'Controles marcos'!$E$9),"")</f>
        <v/>
      </c>
      <c r="F194" s="9" t="n"/>
      <c r="G194" s="9" t="n"/>
      <c r="H194" s="9" t="n"/>
      <c r="I194" s="9" t="n"/>
      <c r="J194" s="12" t="inlineStr">
        <is>
          <t>Obligatorio Ley 21.719</t>
        </is>
      </c>
      <c r="K194" s="34" t="inlineStr">
        <is>
          <t>Sí</t>
        </is>
      </c>
      <c r="L194" s="23">
        <f>IF(AND(K194="Sí",ISNUMBER(E194)),E194,"")</f>
        <v/>
      </c>
    </row>
    <row r="195" ht="75" customHeight="1">
      <c r="A195" s="12" t="inlineStr">
        <is>
          <t>D18</t>
        </is>
      </c>
      <c r="B195" s="12" t="inlineStr">
        <is>
          <t>18.6</t>
        </is>
      </c>
      <c r="C195" s="12" t="inlineStr">
        <is>
          <t>Los programas de fidelización y puntos tienen finalidad declarada y consentimiento. Verificar: términos del programa.</t>
        </is>
      </c>
      <c r="D195" s="12" t="inlineStr">
        <is>
          <t>• 5.34 · Privacidad y protección de datos personales
• 5.9 · Inventario de información y activos</t>
        </is>
      </c>
      <c r="E195" s="33">
        <f>IFERROR(AVERAGE('Controles marcos'!$E$35,'Controles marcos'!$E$10),"")</f>
        <v/>
      </c>
      <c r="F195" s="9" t="n"/>
      <c r="G195" s="9" t="n"/>
      <c r="H195" s="9" t="n"/>
      <c r="I195" s="9" t="n"/>
      <c r="J195" s="12" t="inlineStr">
        <is>
          <t>Obligatorio Ley 21.719</t>
        </is>
      </c>
      <c r="K195" s="34" t="inlineStr">
        <is>
          <t>Sí</t>
        </is>
      </c>
      <c r="L195" s="23">
        <f>IF(AND(K195="Sí",ISNUMBER(E195)),E195,"")</f>
        <v/>
      </c>
    </row>
    <row r="196" ht="75" customHeight="1">
      <c r="A196" s="12" t="inlineStr">
        <is>
          <t>D18</t>
        </is>
      </c>
      <c r="B196" s="12" t="inlineStr">
        <is>
          <t>18.7</t>
        </is>
      </c>
      <c r="C196" s="12" t="inlineStr">
        <is>
          <t>El opt-out de marketing se atiende de inmediato y queda registrado. Verificar: prueba de desuscripción y registro.</t>
        </is>
      </c>
      <c r="D196" s="12" t="inlineStr">
        <is>
          <t>• 5.34 · Privacidad y protección de datos personales
• 8.10 · Eliminación de información</t>
        </is>
      </c>
      <c r="E196" s="33">
        <f>IFERROR(AVERAGE('Controles marcos'!$E$35,'Controles marcos'!$E$70),"")</f>
        <v/>
      </c>
      <c r="F196" s="9" t="n"/>
      <c r="G196" s="9" t="n"/>
      <c r="H196" s="9" t="n"/>
      <c r="I196" s="9" t="n"/>
      <c r="J196" s="12" t="inlineStr">
        <is>
          <t>Obligatorio Ley 21.719</t>
        </is>
      </c>
      <c r="K196" s="34" t="inlineStr">
        <is>
          <t>Sí</t>
        </is>
      </c>
      <c r="L196" s="23">
        <f>IF(AND(K196="Sí",ISNUMBER(E196)),E196,"")</f>
        <v/>
      </c>
    </row>
    <row r="197" ht="75" customHeight="1">
      <c r="A197" s="12" t="inlineStr">
        <is>
          <t>D18</t>
        </is>
      </c>
      <c r="B197" s="12" t="inlineStr">
        <is>
          <t>18.8</t>
        </is>
      </c>
      <c r="C197" s="12" t="inlineStr">
        <is>
          <t>Los leads y clientes inactivos se eliminan o anonimizan al cumplir un plazo definido. Verificar: plazo y última depuración.</t>
        </is>
      </c>
      <c r="D197" s="12" t="inlineStr">
        <is>
          <t>• 8.10 · Eliminación de información
• 5.33 · Protección de registros</t>
        </is>
      </c>
      <c r="E197" s="33">
        <f>IFERROR(AVERAGE('Controles marcos'!$E$70,'Controles marcos'!$E$34),"")</f>
        <v/>
      </c>
      <c r="F197" s="9" t="n"/>
      <c r="G197" s="9" t="n"/>
      <c r="H197" s="9" t="n"/>
      <c r="I197" s="9" t="n"/>
      <c r="J197" s="12" t="inlineStr">
        <is>
          <t>Obligatorio Ley 21.719</t>
        </is>
      </c>
      <c r="K197" s="34" t="inlineStr">
        <is>
          <t>Sí</t>
        </is>
      </c>
      <c r="L197" s="23">
        <f>IF(AND(K197="Sí",ISNUMBER(E197)),E197,"")</f>
        <v/>
      </c>
    </row>
    <row r="198" ht="75" customHeight="1">
      <c r="A198" s="12" t="inlineStr">
        <is>
          <t>D18</t>
        </is>
      </c>
      <c r="B198" s="12" t="inlineStr">
        <is>
          <t>18.9</t>
        </is>
      </c>
      <c r="C198" s="12" t="inlineStr">
        <is>
          <t>Las grabaciones de call center tienen aviso, finalidad y plazo de retención. Verificar: aviso al inicio de la llamada y plazo configurado.</t>
        </is>
      </c>
      <c r="D198" s="12" t="inlineStr">
        <is>
          <t>• 5.34 · Privacidad y protección de datos personales
• 8.15 · Registro de actividades (logging)</t>
        </is>
      </c>
      <c r="E198" s="33">
        <f>IFERROR(AVERAGE('Controles marcos'!$E$35,'Controles marcos'!$E$75),"")</f>
        <v/>
      </c>
      <c r="F198" s="9" t="n"/>
      <c r="G198" s="9" t="n"/>
      <c r="H198" s="9" t="n"/>
      <c r="I198" s="9" t="n"/>
      <c r="J198" s="12" t="inlineStr">
        <is>
          <t>Obligatorio Ley 21.719</t>
        </is>
      </c>
      <c r="K198" s="34" t="inlineStr">
        <is>
          <t>Sí</t>
        </is>
      </c>
      <c r="L198" s="23">
        <f>IF(AND(K198="Sí",ISNUMBER(E198)),E198,"")</f>
        <v/>
      </c>
    </row>
    <row r="199" ht="75" customHeight="1">
      <c r="A199" s="12" t="inlineStr">
        <is>
          <t>D18</t>
        </is>
      </c>
      <c r="B199" s="12" t="inlineStr">
        <is>
          <t>18.10</t>
        </is>
      </c>
      <c r="C199" s="12" t="inlineStr">
        <is>
          <t>El acceso al CRM está restringido por rol y se controlan las exportaciones masivas. Verificar: permisos del CRM y registro de exportaciones.</t>
        </is>
      </c>
      <c r="D199" s="12" t="inlineStr">
        <is>
          <t>• 8.3 · Restricción de acceso a la información
• 8.12 · Prevención de fuga de datos</t>
        </is>
      </c>
      <c r="E199" s="33">
        <f>IFERROR(AVERAGE('Controles marcos'!$E$63,'Controles marcos'!$E$72),"")</f>
        <v/>
      </c>
      <c r="F199" s="9" t="n"/>
      <c r="G199" s="9" t="n"/>
      <c r="H199" s="9" t="n"/>
      <c r="I199" s="9" t="n"/>
      <c r="J199" s="12" t="inlineStr">
        <is>
          <t>Obligatorio Ley 21.719</t>
        </is>
      </c>
      <c r="K199" s="34" t="inlineStr">
        <is>
          <t>Sí</t>
        </is>
      </c>
      <c r="L199" s="23">
        <f>IF(AND(K199="Sí",ISNUMBER(E199)),E199,"")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I199"/>
  <dataValidations count="2">
    <dataValidation sqref="K2:K199" showDropDown="0" showInputMessage="1" showErrorMessage="1" allowBlank="1" errorTitle="Incluir en puntaje" error="Seleccione Sí o No." promptTitle="Incluir en puntaje" prompt="Sí = entra en el puntaje" type="list" errorStyle="stop">
      <formula1>=Listas!$D$2:$D$3</formula1>
    </dataValidation>
    <dataValidation sqref="I2:I199" showDropDown="0" showInputMessage="0" showErrorMessage="1" allowBlank="1" errorTitle="Fecha no válida" error="Ingrese una fecha válida (dd/mm/aaaa) entre 2020 y 2035." type="date" errorStyle="stop" operator="between">
      <formula1>43831</formula1>
      <formula2>49674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70" customWidth="1" min="3" max="3"/>
    <col width="30" customWidth="1" min="4" max="4"/>
    <col width="16" customWidth="1" min="5" max="5"/>
    <col width="40" customWidth="1" min="6" max="6"/>
    <col width="14" customWidth="1" min="7" max="7"/>
  </cols>
  <sheetData>
    <row r="1">
      <c r="A1" s="11" t="inlineStr">
        <is>
          <t>Marco</t>
        </is>
      </c>
      <c r="B1" s="11" t="inlineStr">
        <is>
          <t>Control</t>
        </is>
      </c>
      <c r="C1" s="11" t="inlineStr">
        <is>
          <t>Nombre del control y qué debe levantar</t>
        </is>
      </c>
      <c r="D1" s="11" t="inlineStr">
        <is>
          <t>Tema / función</t>
        </is>
      </c>
      <c r="E1" s="11" t="inlineStr">
        <is>
          <t>Puntaje consolidado (automático desde Registro entrevistas)</t>
        </is>
      </c>
      <c r="F1" s="11" t="inlineStr">
        <is>
          <t>Referencia de evidencia (opcional)</t>
        </is>
      </c>
      <c r="G1" s="11" t="inlineStr">
        <is>
          <t>Usado en requisitos</t>
        </is>
      </c>
    </row>
    <row r="2" ht="62" customHeight="1">
      <c r="A2" s="12" t="inlineStr">
        <is>
          <t>ISO 27001:2022</t>
        </is>
      </c>
      <c r="B2" s="12" t="inlineStr">
        <is>
          <t>5.1</t>
        </is>
      </c>
      <c r="C2" s="12" t="inlineStr">
        <is>
          <t>Políticas de seguridad de la información. Qué debe levantar: Existe una política de seguridad aprobada por la dirección, con fecha de revisión y difundida al personal.</t>
        </is>
      </c>
      <c r="D2" s="12" t="inlineStr">
        <is>
          <t>5. Controles Organizacionales</t>
        </is>
      </c>
      <c r="E2" s="35">
        <f>IF(COUNTIF('Registro entrevistas'!$F$30:$F$229,B2)=0,"",IF(COUNTIFS('Registro entrevistas'!$F$30:$F$229,B2,'Registro entrevistas'!$I$30:$I$229,"Sí")=0,IF(_xlfn.MINIFS('Registro entrevistas'!$J$30:$J$229,'Registro entrevistas'!$F$30:$F$229,B2)=0,"",MIN(3,_xlfn.MINIFS('Registro entrevistas'!$J$30:$J$229,'Registro entrevistas'!$F$30:$F$229,B2))),IF(_xlfn.MINIFS('Registro entrevistas'!$J$30:$J$229,'Registro entrevistas'!$F$30:$F$229,B2,'Registro entrevistas'!$I$30:$I$229,"Sí")=0,"",_xlfn.MINIFS('Registro entrevistas'!$J$30:$J$229,'Registro entrevistas'!$F$30:$F$229,B2,'Registro entrevistas'!$I$30:$I$229,"Sí"))))</f>
        <v/>
      </c>
      <c r="F2" s="12" t="n"/>
      <c r="G2" s="12" t="inlineStr">
        <is>
          <t>Sí</t>
        </is>
      </c>
    </row>
    <row r="3" ht="62" customHeight="1">
      <c r="A3" s="12" t="inlineStr">
        <is>
          <t>ISO 27001:2022</t>
        </is>
      </c>
      <c r="B3" s="12" t="inlineStr">
        <is>
          <t>5.2</t>
        </is>
      </c>
      <c r="C3" s="12" t="inlineStr">
        <is>
          <t>Roles y responsabilidades de SI. Qué debe levantar: Están definidos y documentados quién hace qué en seguridad (matriz de responsabilidades).</t>
        </is>
      </c>
      <c r="D3" s="12" t="inlineStr">
        <is>
          <t>5. Controles Organizacionales</t>
        </is>
      </c>
      <c r="E3" s="35">
        <f>IF(COUNTIF('Registro entrevistas'!$F$30:$F$229,B3)=0,"",IF(COUNTIFS('Registro entrevistas'!$F$30:$F$229,B3,'Registro entrevistas'!$I$30:$I$229,"Sí")=0,IF(_xlfn.MINIFS('Registro entrevistas'!$J$30:$J$229,'Registro entrevistas'!$F$30:$F$229,B3)=0,"",MIN(3,_xlfn.MINIFS('Registro entrevistas'!$J$30:$J$229,'Registro entrevistas'!$F$30:$F$229,B3))),IF(_xlfn.MINIFS('Registro entrevistas'!$J$30:$J$229,'Registro entrevistas'!$F$30:$F$229,B3,'Registro entrevistas'!$I$30:$I$229,"Sí")=0,"",_xlfn.MINIFS('Registro entrevistas'!$J$30:$J$229,'Registro entrevistas'!$F$30:$F$229,B3,'Registro entrevistas'!$I$30:$I$229,"Sí"))))</f>
        <v/>
      </c>
      <c r="F3" s="12" t="n"/>
      <c r="G3" s="12" t="inlineStr">
        <is>
          <t>Sí</t>
        </is>
      </c>
    </row>
    <row r="4" ht="62" customHeight="1">
      <c r="A4" s="12" t="inlineStr">
        <is>
          <t>ISO 27001:2022</t>
        </is>
      </c>
      <c r="B4" s="12" t="inlineStr">
        <is>
          <t>5.3</t>
        </is>
      </c>
      <c r="C4" s="12" t="inlineStr">
        <is>
          <t>Segregación de funciones. Qué debe levantar: Las funciones incompatibles (por ejemplo, crear y aprobar pagos) están separadas o tienen control compensatorio.</t>
        </is>
      </c>
      <c r="D4" s="12" t="inlineStr">
        <is>
          <t>5. Controles Organizacionales</t>
        </is>
      </c>
      <c r="E4" s="35">
        <f>IF(COUNTIF('Registro entrevistas'!$F$30:$F$229,B4)=0,"",IF(COUNTIFS('Registro entrevistas'!$F$30:$F$229,B4,'Registro entrevistas'!$I$30:$I$229,"Sí")=0,IF(_xlfn.MINIFS('Registro entrevistas'!$J$30:$J$229,'Registro entrevistas'!$F$30:$F$229,B4)=0,"",MIN(3,_xlfn.MINIFS('Registro entrevistas'!$J$30:$J$229,'Registro entrevistas'!$F$30:$F$229,B4))),IF(_xlfn.MINIFS('Registro entrevistas'!$J$30:$J$229,'Registro entrevistas'!$F$30:$F$229,B4,'Registro entrevistas'!$I$30:$I$229,"Sí")=0,"",_xlfn.MINIFS('Registro entrevistas'!$J$30:$J$229,'Registro entrevistas'!$F$30:$F$229,B4,'Registro entrevistas'!$I$30:$I$229,"Sí"))))</f>
        <v/>
      </c>
      <c r="F4" s="12" t="n"/>
      <c r="G4" s="12" t="inlineStr">
        <is>
          <t>Sí</t>
        </is>
      </c>
    </row>
    <row r="5" ht="62" customHeight="1">
      <c r="A5" s="12" t="inlineStr">
        <is>
          <t>ISO 27001:2022</t>
        </is>
      </c>
      <c r="B5" s="12" t="inlineStr">
        <is>
          <t>5.4</t>
        </is>
      </c>
      <c r="C5" s="12" t="inlineStr">
        <is>
          <t>Responsabilidades de la dirección. Qué debe levantar: La dirección revisa y respalda la seguridad: actas, compromisos y recursos asignados.</t>
        </is>
      </c>
      <c r="D5" s="12" t="inlineStr">
        <is>
          <t>5. Controles Organizacionales</t>
        </is>
      </c>
      <c r="E5" s="35">
        <f>IF(COUNTIF('Registro entrevistas'!$F$30:$F$229,B5)=0,"",IF(COUNTIFS('Registro entrevistas'!$F$30:$F$229,B5,'Registro entrevistas'!$I$30:$I$229,"Sí")=0,IF(_xlfn.MINIFS('Registro entrevistas'!$J$30:$J$229,'Registro entrevistas'!$F$30:$F$229,B5)=0,"",MIN(3,_xlfn.MINIFS('Registro entrevistas'!$J$30:$J$229,'Registro entrevistas'!$F$30:$F$229,B5))),IF(_xlfn.MINIFS('Registro entrevistas'!$J$30:$J$229,'Registro entrevistas'!$F$30:$F$229,B5,'Registro entrevistas'!$I$30:$I$229,"Sí")=0,"",_xlfn.MINIFS('Registro entrevistas'!$J$30:$J$229,'Registro entrevistas'!$F$30:$F$229,B5,'Registro entrevistas'!$I$30:$I$229,"Sí"))))</f>
        <v/>
      </c>
      <c r="F5" s="12" t="n"/>
      <c r="G5" s="12" t="inlineStr">
        <is>
          <t>Sí</t>
        </is>
      </c>
    </row>
    <row r="6" ht="62" customHeight="1">
      <c r="A6" s="12" t="inlineStr">
        <is>
          <t>ISO 27001:2022</t>
        </is>
      </c>
      <c r="B6" s="12" t="inlineStr">
        <is>
          <t>5.5</t>
        </is>
      </c>
      <c r="C6" s="12" t="inlineStr">
        <is>
          <t>Contacto con autoridades. Qué debe levantar: Existen contactos definidos con autoridades (Agencia de Protección de Datos, CPLT, ANCI, policía) y canales conocidos.</t>
        </is>
      </c>
      <c r="D6" s="12" t="inlineStr">
        <is>
          <t>5. Controles Organizacionales</t>
        </is>
      </c>
      <c r="E6" s="35">
        <f>IF(COUNTIF('Registro entrevistas'!$F$30:$F$229,B6)=0,"",IF(COUNTIFS('Registro entrevistas'!$F$30:$F$229,B6,'Registro entrevistas'!$I$30:$I$229,"Sí")=0,IF(_xlfn.MINIFS('Registro entrevistas'!$J$30:$J$229,'Registro entrevistas'!$F$30:$F$229,B6)=0,"",MIN(3,_xlfn.MINIFS('Registro entrevistas'!$J$30:$J$229,'Registro entrevistas'!$F$30:$F$229,B6))),IF(_xlfn.MINIFS('Registro entrevistas'!$J$30:$J$229,'Registro entrevistas'!$F$30:$F$229,B6,'Registro entrevistas'!$I$30:$I$229,"Sí")=0,"",_xlfn.MINIFS('Registro entrevistas'!$J$30:$J$229,'Registro entrevistas'!$F$30:$F$229,B6,'Registro entrevistas'!$I$30:$I$229,"Sí"))))</f>
        <v/>
      </c>
      <c r="F6" s="12" t="n"/>
      <c r="G6" s="12" t="inlineStr">
        <is>
          <t>Sí</t>
        </is>
      </c>
    </row>
    <row r="7" ht="62" customHeight="1">
      <c r="A7" s="12" t="inlineStr">
        <is>
          <t>ISO 27001:2022</t>
        </is>
      </c>
      <c r="B7" s="12" t="inlineStr">
        <is>
          <t>5.6</t>
        </is>
      </c>
      <c r="C7" s="12" t="inlineStr">
        <is>
          <t>Contacto con grupos de interés especial. Qué debe levantar: La organización participa en foros o CERT que entregan información de seguridad.</t>
        </is>
      </c>
      <c r="D7" s="12" t="inlineStr">
        <is>
          <t>5. Controles Organizacionales</t>
        </is>
      </c>
      <c r="E7" s="35">
        <f>IF(COUNTIF('Registro entrevistas'!$F$30:$F$229,B7)=0,"",IF(COUNTIFS('Registro entrevistas'!$F$30:$F$229,B7,'Registro entrevistas'!$I$30:$I$229,"Sí")=0,IF(_xlfn.MINIFS('Registro entrevistas'!$J$30:$J$229,'Registro entrevistas'!$F$30:$F$229,B7)=0,"",MIN(3,_xlfn.MINIFS('Registro entrevistas'!$J$30:$J$229,'Registro entrevistas'!$F$30:$F$229,B7))),IF(_xlfn.MINIFS('Registro entrevistas'!$J$30:$J$229,'Registro entrevistas'!$F$30:$F$229,B7,'Registro entrevistas'!$I$30:$I$229,"Sí")=0,"",_xlfn.MINIFS('Registro entrevistas'!$J$30:$J$229,'Registro entrevistas'!$F$30:$F$229,B7,'Registro entrevistas'!$I$30:$I$229,"Sí"))))</f>
        <v/>
      </c>
      <c r="F7" s="12" t="n"/>
      <c r="G7" s="12" t="inlineStr">
        <is>
          <t>Sí</t>
        </is>
      </c>
    </row>
    <row r="8" ht="62" customHeight="1">
      <c r="A8" s="12" t="inlineStr">
        <is>
          <t>ISO 27001:2022</t>
        </is>
      </c>
      <c r="B8" s="12" t="inlineStr">
        <is>
          <t>5.7</t>
        </is>
      </c>
      <c r="C8" s="12" t="inlineStr">
        <is>
          <t>Inteligencia de amenazas. Qué debe levantar: Se recibe y analiza información sobre amenazas que pueden afectar a la organización.</t>
        </is>
      </c>
      <c r="D8" s="12" t="inlineStr">
        <is>
          <t>5. Controles Organizacionales</t>
        </is>
      </c>
      <c r="E8" s="35">
        <f>IF(COUNTIF('Registro entrevistas'!$F$30:$F$229,B8)=0,"",IF(COUNTIFS('Registro entrevistas'!$F$30:$F$229,B8,'Registro entrevistas'!$I$30:$I$229,"Sí")=0,IF(_xlfn.MINIFS('Registro entrevistas'!$J$30:$J$229,'Registro entrevistas'!$F$30:$F$229,B8)=0,"",MIN(3,_xlfn.MINIFS('Registro entrevistas'!$J$30:$J$229,'Registro entrevistas'!$F$30:$F$229,B8))),IF(_xlfn.MINIFS('Registro entrevistas'!$J$30:$J$229,'Registro entrevistas'!$F$30:$F$229,B8,'Registro entrevistas'!$I$30:$I$229,"Sí")=0,"",_xlfn.MINIFS('Registro entrevistas'!$J$30:$J$229,'Registro entrevistas'!$F$30:$F$229,B8,'Registro entrevistas'!$I$30:$I$229,"Sí"))))</f>
        <v/>
      </c>
      <c r="F8" s="12" t="n"/>
      <c r="G8" s="12" t="inlineStr">
        <is>
          <t>Sí</t>
        </is>
      </c>
    </row>
    <row r="9" ht="62" customHeight="1">
      <c r="A9" s="12" t="inlineStr">
        <is>
          <t>ISO 27001:2022</t>
        </is>
      </c>
      <c r="B9" s="12" t="inlineStr">
        <is>
          <t>5.8</t>
        </is>
      </c>
      <c r="C9" s="12" t="inlineStr">
        <is>
          <t>SI en gestión de proyectos. Qué debe levantar: Los proyectos incluyen revisión de seguridad y privacidad desde su inicio.</t>
        </is>
      </c>
      <c r="D9" s="12" t="inlineStr">
        <is>
          <t>5. Controles Organizacionales</t>
        </is>
      </c>
      <c r="E9" s="35">
        <f>IF(COUNTIF('Registro entrevistas'!$F$30:$F$229,B9)=0,"",IF(COUNTIFS('Registro entrevistas'!$F$30:$F$229,B9,'Registro entrevistas'!$I$30:$I$229,"Sí")=0,IF(_xlfn.MINIFS('Registro entrevistas'!$J$30:$J$229,'Registro entrevistas'!$F$30:$F$229,B9)=0,"",MIN(3,_xlfn.MINIFS('Registro entrevistas'!$J$30:$J$229,'Registro entrevistas'!$F$30:$F$229,B9))),IF(_xlfn.MINIFS('Registro entrevistas'!$J$30:$J$229,'Registro entrevistas'!$F$30:$F$229,B9,'Registro entrevistas'!$I$30:$I$229,"Sí")=0,"",_xlfn.MINIFS('Registro entrevistas'!$J$30:$J$229,'Registro entrevistas'!$F$30:$F$229,B9,'Registro entrevistas'!$I$30:$I$229,"Sí"))))</f>
        <v/>
      </c>
      <c r="F9" s="12" t="n"/>
      <c r="G9" s="12" t="inlineStr">
        <is>
          <t>Sí</t>
        </is>
      </c>
    </row>
    <row r="10" ht="62" customHeight="1">
      <c r="A10" s="12" t="inlineStr">
        <is>
          <t>ISO 27001:2022</t>
        </is>
      </c>
      <c r="B10" s="12" t="inlineStr">
        <is>
          <t>5.9</t>
        </is>
      </c>
      <c r="C10" s="12" t="inlineStr">
        <is>
          <t>Inventario de información y activos. Qué debe levantar: Existe un inventario de activos de información con dueño, clasificación y ubicación.</t>
        </is>
      </c>
      <c r="D10" s="12" t="inlineStr">
        <is>
          <t>5. Controles Organizacionales</t>
        </is>
      </c>
      <c r="E10" s="35">
        <f>IF(COUNTIF('Registro entrevistas'!$F$30:$F$229,B10)=0,"",IF(COUNTIFS('Registro entrevistas'!$F$30:$F$229,B10,'Registro entrevistas'!$I$30:$I$229,"Sí")=0,IF(_xlfn.MINIFS('Registro entrevistas'!$J$30:$J$229,'Registro entrevistas'!$F$30:$F$229,B10)=0,"",MIN(3,_xlfn.MINIFS('Registro entrevistas'!$J$30:$J$229,'Registro entrevistas'!$F$30:$F$229,B10))),IF(_xlfn.MINIFS('Registro entrevistas'!$J$30:$J$229,'Registro entrevistas'!$F$30:$F$229,B10,'Registro entrevistas'!$I$30:$I$229,"Sí")=0,"",_xlfn.MINIFS('Registro entrevistas'!$J$30:$J$229,'Registro entrevistas'!$F$30:$F$229,B10,'Registro entrevistas'!$I$30:$I$229,"Sí"))))</f>
        <v/>
      </c>
      <c r="F10" s="12" t="n"/>
      <c r="G10" s="12" t="inlineStr">
        <is>
          <t>Sí</t>
        </is>
      </c>
    </row>
    <row r="11" ht="62" customHeight="1">
      <c r="A11" s="12" t="inlineStr">
        <is>
          <t>ISO 27001:2022</t>
        </is>
      </c>
      <c r="B11" s="12" t="inlineStr">
        <is>
          <t>5.10</t>
        </is>
      </c>
      <c r="C11" s="12" t="inlineStr">
        <is>
          <t>Uso aceptable de información. Qué debe levantar: Existe una política de uso aceptable de la información, firmada por los usuarios.</t>
        </is>
      </c>
      <c r="D11" s="12" t="inlineStr">
        <is>
          <t>5. Controles Organizacionales</t>
        </is>
      </c>
      <c r="E11" s="35">
        <f>IF(COUNTIF('Registro entrevistas'!$F$30:$F$229,B11)=0,"",IF(COUNTIFS('Registro entrevistas'!$F$30:$F$229,B11,'Registro entrevistas'!$I$30:$I$229,"Sí")=0,IF(_xlfn.MINIFS('Registro entrevistas'!$J$30:$J$229,'Registro entrevistas'!$F$30:$F$229,B11)=0,"",MIN(3,_xlfn.MINIFS('Registro entrevistas'!$J$30:$J$229,'Registro entrevistas'!$F$30:$F$229,B11))),IF(_xlfn.MINIFS('Registro entrevistas'!$J$30:$J$229,'Registro entrevistas'!$F$30:$F$229,B11,'Registro entrevistas'!$I$30:$I$229,"Sí")=0,"",_xlfn.MINIFS('Registro entrevistas'!$J$30:$J$229,'Registro entrevistas'!$F$30:$F$229,B11,'Registro entrevistas'!$I$30:$I$229,"Sí"))))</f>
        <v/>
      </c>
      <c r="F11" s="12" t="n"/>
      <c r="G11" s="12" t="inlineStr">
        <is>
          <t>Sí</t>
        </is>
      </c>
    </row>
    <row r="12" ht="62" customHeight="1">
      <c r="A12" s="12" t="inlineStr">
        <is>
          <t>ISO 27001:2022</t>
        </is>
      </c>
      <c r="B12" s="12" t="inlineStr">
        <is>
          <t>5.11</t>
        </is>
      </c>
      <c r="C12" s="12" t="inlineStr">
        <is>
          <t>Devolución de activos. Qué debe levantar: Al salir o cambiar de cargo, el personal devuelve equipos e información, con registro.</t>
        </is>
      </c>
      <c r="D12" s="12" t="inlineStr">
        <is>
          <t>5. Controles Organizacionales</t>
        </is>
      </c>
      <c r="E12" s="35">
        <f>IF(COUNTIF('Registro entrevistas'!$F$30:$F$229,B12)=0,"",IF(COUNTIFS('Registro entrevistas'!$F$30:$F$229,B12,'Registro entrevistas'!$I$30:$I$229,"Sí")=0,IF(_xlfn.MINIFS('Registro entrevistas'!$J$30:$J$229,'Registro entrevistas'!$F$30:$F$229,B12)=0,"",MIN(3,_xlfn.MINIFS('Registro entrevistas'!$J$30:$J$229,'Registro entrevistas'!$F$30:$F$229,B12))),IF(_xlfn.MINIFS('Registro entrevistas'!$J$30:$J$229,'Registro entrevistas'!$F$30:$F$229,B12,'Registro entrevistas'!$I$30:$I$229,"Sí")=0,"",_xlfn.MINIFS('Registro entrevistas'!$J$30:$J$229,'Registro entrevistas'!$F$30:$F$229,B12,'Registro entrevistas'!$I$30:$I$229,"Sí"))))</f>
        <v/>
      </c>
      <c r="F12" s="12" t="n"/>
      <c r="G12" s="12" t="inlineStr">
        <is>
          <t>Sí</t>
        </is>
      </c>
    </row>
    <row r="13" ht="62" customHeight="1">
      <c r="A13" s="12" t="inlineStr">
        <is>
          <t>ISO 27001:2022</t>
        </is>
      </c>
      <c r="B13" s="12" t="inlineStr">
        <is>
          <t>5.12</t>
        </is>
      </c>
      <c r="C13" s="12" t="inlineStr">
        <is>
          <t>Clasificación de la información. Qué debe levantar: La información se clasifica por nivel de sensibilidad y la clasificación se aplica en la práctica.</t>
        </is>
      </c>
      <c r="D13" s="12" t="inlineStr">
        <is>
          <t>5. Controles Organizacionales</t>
        </is>
      </c>
      <c r="E13" s="35">
        <f>IF(COUNTIF('Registro entrevistas'!$F$30:$F$229,B13)=0,"",IF(COUNTIFS('Registro entrevistas'!$F$30:$F$229,B13,'Registro entrevistas'!$I$30:$I$229,"Sí")=0,IF(_xlfn.MINIFS('Registro entrevistas'!$J$30:$J$229,'Registro entrevistas'!$F$30:$F$229,B13)=0,"",MIN(3,_xlfn.MINIFS('Registro entrevistas'!$J$30:$J$229,'Registro entrevistas'!$F$30:$F$229,B13))),IF(_xlfn.MINIFS('Registro entrevistas'!$J$30:$J$229,'Registro entrevistas'!$F$30:$F$229,B13,'Registro entrevistas'!$I$30:$I$229,"Sí")=0,"",_xlfn.MINIFS('Registro entrevistas'!$J$30:$J$229,'Registro entrevistas'!$F$30:$F$229,B13,'Registro entrevistas'!$I$30:$I$229,"Sí"))))</f>
        <v/>
      </c>
      <c r="F13" s="12" t="n"/>
      <c r="G13" s="12" t="inlineStr">
        <is>
          <t>Sí</t>
        </is>
      </c>
    </row>
    <row r="14" ht="62" customHeight="1">
      <c r="A14" s="12" t="inlineStr">
        <is>
          <t>ISO 27001:2022</t>
        </is>
      </c>
      <c r="B14" s="12" t="inlineStr">
        <is>
          <t>5.13</t>
        </is>
      </c>
      <c r="C14" s="12" t="inlineStr">
        <is>
          <t>Etiquetado de la información. Qué debe levantar: La clasificación se marca en documentos y sistemas según la política.</t>
        </is>
      </c>
      <c r="D14" s="12" t="inlineStr">
        <is>
          <t>5. Controles Organizacionales</t>
        </is>
      </c>
      <c r="E14" s="35">
        <f>IF(COUNTIF('Registro entrevistas'!$F$30:$F$229,B14)=0,"",IF(COUNTIFS('Registro entrevistas'!$F$30:$F$229,B14,'Registro entrevistas'!$I$30:$I$229,"Sí")=0,IF(_xlfn.MINIFS('Registro entrevistas'!$J$30:$J$229,'Registro entrevistas'!$F$30:$F$229,B14)=0,"",MIN(3,_xlfn.MINIFS('Registro entrevistas'!$J$30:$J$229,'Registro entrevistas'!$F$30:$F$229,B14))),IF(_xlfn.MINIFS('Registro entrevistas'!$J$30:$J$229,'Registro entrevistas'!$F$30:$F$229,B14,'Registro entrevistas'!$I$30:$I$229,"Sí")=0,"",_xlfn.MINIFS('Registro entrevistas'!$J$30:$J$229,'Registro entrevistas'!$F$30:$F$229,B14,'Registro entrevistas'!$I$30:$I$229,"Sí"))))</f>
        <v/>
      </c>
      <c r="F14" s="12" t="n"/>
      <c r="G14" s="12" t="inlineStr">
        <is>
          <t>Sí</t>
        </is>
      </c>
    </row>
    <row r="15" ht="62" customHeight="1">
      <c r="A15" s="12" t="inlineStr">
        <is>
          <t>ISO 27001:2022</t>
        </is>
      </c>
      <c r="B15" s="12" t="inlineStr">
        <is>
          <t>5.14</t>
        </is>
      </c>
      <c r="C15" s="12" t="inlineStr">
        <is>
          <t>Transferencia de información. Qué debe levantar: Los intercambios con terceros usan canales seguros y acuerdos de confidencialidad.</t>
        </is>
      </c>
      <c r="D15" s="12" t="inlineStr">
        <is>
          <t>5. Controles Organizacionales</t>
        </is>
      </c>
      <c r="E15" s="35">
        <f>IF(COUNTIF('Registro entrevistas'!$F$30:$F$229,B15)=0,"",IF(COUNTIFS('Registro entrevistas'!$F$30:$F$229,B15,'Registro entrevistas'!$I$30:$I$229,"Sí")=0,IF(_xlfn.MINIFS('Registro entrevistas'!$J$30:$J$229,'Registro entrevistas'!$F$30:$F$229,B15)=0,"",MIN(3,_xlfn.MINIFS('Registro entrevistas'!$J$30:$J$229,'Registro entrevistas'!$F$30:$F$229,B15))),IF(_xlfn.MINIFS('Registro entrevistas'!$J$30:$J$229,'Registro entrevistas'!$F$30:$F$229,B15,'Registro entrevistas'!$I$30:$I$229,"Sí")=0,"",_xlfn.MINIFS('Registro entrevistas'!$J$30:$J$229,'Registro entrevistas'!$F$30:$F$229,B15,'Registro entrevistas'!$I$30:$I$229,"Sí"))))</f>
        <v/>
      </c>
      <c r="F15" s="12" t="n"/>
      <c r="G15" s="12" t="inlineStr">
        <is>
          <t>Sí</t>
        </is>
      </c>
    </row>
    <row r="16" ht="62" customHeight="1">
      <c r="A16" s="12" t="inlineStr">
        <is>
          <t>ISO 27001:2022</t>
        </is>
      </c>
      <c r="B16" s="12" t="inlineStr">
        <is>
          <t>5.15</t>
        </is>
      </c>
      <c r="C16" s="12" t="inlineStr">
        <is>
          <t>Control de acceso. Qué debe levantar: Existe una política de control de acceso basada en necesidad, aplicada en los sistemas.</t>
        </is>
      </c>
      <c r="D16" s="12" t="inlineStr">
        <is>
          <t>5. Controles Organizacionales</t>
        </is>
      </c>
      <c r="E16" s="35">
        <f>IF(COUNTIF('Registro entrevistas'!$F$30:$F$229,B16)=0,"",IF(COUNTIFS('Registro entrevistas'!$F$30:$F$229,B16,'Registro entrevistas'!$I$30:$I$229,"Sí")=0,IF(_xlfn.MINIFS('Registro entrevistas'!$J$30:$J$229,'Registro entrevistas'!$F$30:$F$229,B16)=0,"",MIN(3,_xlfn.MINIFS('Registro entrevistas'!$J$30:$J$229,'Registro entrevistas'!$F$30:$F$229,B16))),IF(_xlfn.MINIFS('Registro entrevistas'!$J$30:$J$229,'Registro entrevistas'!$F$30:$F$229,B16,'Registro entrevistas'!$I$30:$I$229,"Sí")=0,"",_xlfn.MINIFS('Registro entrevistas'!$J$30:$J$229,'Registro entrevistas'!$F$30:$F$229,B16,'Registro entrevistas'!$I$30:$I$229,"Sí"))))</f>
        <v/>
      </c>
      <c r="F16" s="12" t="n"/>
      <c r="G16" s="12" t="inlineStr">
        <is>
          <t>Sí</t>
        </is>
      </c>
    </row>
    <row r="17" ht="62" customHeight="1">
      <c r="A17" s="12" t="inlineStr">
        <is>
          <t>ISO 27001:2022</t>
        </is>
      </c>
      <c r="B17" s="12" t="inlineStr">
        <is>
          <t>5.16</t>
        </is>
      </c>
      <c r="C17" s="12" t="inlineStr">
        <is>
          <t>Gestión de identidades. Qué debe levantar: El alta, cambio y baja de usuarios están controlados y con evidencia.</t>
        </is>
      </c>
      <c r="D17" s="12" t="inlineStr">
        <is>
          <t>5. Controles Organizacionales</t>
        </is>
      </c>
      <c r="E17" s="35">
        <f>IF(COUNTIF('Registro entrevistas'!$F$30:$F$229,B17)=0,"",IF(COUNTIFS('Registro entrevistas'!$F$30:$F$229,B17,'Registro entrevistas'!$I$30:$I$229,"Sí")=0,IF(_xlfn.MINIFS('Registro entrevistas'!$J$30:$J$229,'Registro entrevistas'!$F$30:$F$229,B17)=0,"",MIN(3,_xlfn.MINIFS('Registro entrevistas'!$J$30:$J$229,'Registro entrevistas'!$F$30:$F$229,B17))),IF(_xlfn.MINIFS('Registro entrevistas'!$J$30:$J$229,'Registro entrevistas'!$F$30:$F$229,B17,'Registro entrevistas'!$I$30:$I$229,"Sí")=0,"",_xlfn.MINIFS('Registro entrevistas'!$J$30:$J$229,'Registro entrevistas'!$F$30:$F$229,B17,'Registro entrevistas'!$I$30:$I$229,"Sí"))))</f>
        <v/>
      </c>
      <c r="F17" s="12" t="n"/>
      <c r="G17" s="12" t="inlineStr">
        <is>
          <t>Sí</t>
        </is>
      </c>
    </row>
    <row r="18" ht="62" customHeight="1">
      <c r="A18" s="12" t="inlineStr">
        <is>
          <t>ISO 27001:2022</t>
        </is>
      </c>
      <c r="B18" s="12" t="inlineStr">
        <is>
          <t>5.17</t>
        </is>
      </c>
      <c r="C18" s="12" t="inlineStr">
        <is>
          <t>Información de autenticación. Qué debe levantar: Las contraseñas y credenciales se gestionan con reglas formales (longitud, renovación, almacenamiento).</t>
        </is>
      </c>
      <c r="D18" s="12" t="inlineStr">
        <is>
          <t>5. Controles Organizacionales</t>
        </is>
      </c>
      <c r="E18" s="35">
        <f>IF(COUNTIF('Registro entrevistas'!$F$30:$F$229,B18)=0,"",IF(COUNTIFS('Registro entrevistas'!$F$30:$F$229,B18,'Registro entrevistas'!$I$30:$I$229,"Sí")=0,IF(_xlfn.MINIFS('Registro entrevistas'!$J$30:$J$229,'Registro entrevistas'!$F$30:$F$229,B18)=0,"",MIN(3,_xlfn.MINIFS('Registro entrevistas'!$J$30:$J$229,'Registro entrevistas'!$F$30:$F$229,B18))),IF(_xlfn.MINIFS('Registro entrevistas'!$J$30:$J$229,'Registro entrevistas'!$F$30:$F$229,B18,'Registro entrevistas'!$I$30:$I$229,"Sí")=0,"",_xlfn.MINIFS('Registro entrevistas'!$J$30:$J$229,'Registro entrevistas'!$F$30:$F$229,B18,'Registro entrevistas'!$I$30:$I$229,"Sí"))))</f>
        <v/>
      </c>
      <c r="F18" s="12" t="n"/>
      <c r="G18" s="12" t="inlineStr">
        <is>
          <t>Sí</t>
        </is>
      </c>
    </row>
    <row r="19" ht="62" customHeight="1">
      <c r="A19" s="12" t="inlineStr">
        <is>
          <t>ISO 27001:2022</t>
        </is>
      </c>
      <c r="B19" s="12" t="inlineStr">
        <is>
          <t>5.18</t>
        </is>
      </c>
      <c r="C19" s="12" t="inlineStr">
        <is>
          <t>Derechos de acceso. Qué debe levantar: Los permisos se revisan periódicamente y se ajustan al cargo.</t>
        </is>
      </c>
      <c r="D19" s="12" t="inlineStr">
        <is>
          <t>5. Controles Organizacionales</t>
        </is>
      </c>
      <c r="E19" s="35">
        <f>IF(COUNTIF('Registro entrevistas'!$F$30:$F$229,B19)=0,"",IF(COUNTIFS('Registro entrevistas'!$F$30:$F$229,B19,'Registro entrevistas'!$I$30:$I$229,"Sí")=0,IF(_xlfn.MINIFS('Registro entrevistas'!$J$30:$J$229,'Registro entrevistas'!$F$30:$F$229,B19)=0,"",MIN(3,_xlfn.MINIFS('Registro entrevistas'!$J$30:$J$229,'Registro entrevistas'!$F$30:$F$229,B19))),IF(_xlfn.MINIFS('Registro entrevistas'!$J$30:$J$229,'Registro entrevistas'!$F$30:$F$229,B19,'Registro entrevistas'!$I$30:$I$229,"Sí")=0,"",_xlfn.MINIFS('Registro entrevistas'!$J$30:$J$229,'Registro entrevistas'!$F$30:$F$229,B19,'Registro entrevistas'!$I$30:$I$229,"Sí"))))</f>
        <v/>
      </c>
      <c r="F19" s="12" t="n"/>
      <c r="G19" s="12" t="inlineStr">
        <is>
          <t>Sí</t>
        </is>
      </c>
    </row>
    <row r="20" ht="62" customHeight="1">
      <c r="A20" s="12" t="inlineStr">
        <is>
          <t>ISO 27001:2022</t>
        </is>
      </c>
      <c r="B20" s="12" t="inlineStr">
        <is>
          <t>5.19</t>
        </is>
      </c>
      <c r="C20" s="12" t="inlineStr">
        <is>
          <t>Seguridad en relaciones con proveedores. Qué debe levantar: Existe un proceso para evaluar la seguridad de los proveedores antes y durante la relación.</t>
        </is>
      </c>
      <c r="D20" s="12" t="inlineStr">
        <is>
          <t>5. Controles Organizacionales</t>
        </is>
      </c>
      <c r="E20" s="35">
        <f>IF(COUNTIF('Registro entrevistas'!$F$30:$F$229,B20)=0,"",IF(COUNTIFS('Registro entrevistas'!$F$30:$F$229,B20,'Registro entrevistas'!$I$30:$I$229,"Sí")=0,IF(_xlfn.MINIFS('Registro entrevistas'!$J$30:$J$229,'Registro entrevistas'!$F$30:$F$229,B20)=0,"",MIN(3,_xlfn.MINIFS('Registro entrevistas'!$J$30:$J$229,'Registro entrevistas'!$F$30:$F$229,B20))),IF(_xlfn.MINIFS('Registro entrevistas'!$J$30:$J$229,'Registro entrevistas'!$F$30:$F$229,B20,'Registro entrevistas'!$I$30:$I$229,"Sí")=0,"",_xlfn.MINIFS('Registro entrevistas'!$J$30:$J$229,'Registro entrevistas'!$F$30:$F$229,B20,'Registro entrevistas'!$I$30:$I$229,"Sí"))))</f>
        <v/>
      </c>
      <c r="F20" s="12" t="n"/>
      <c r="G20" s="12" t="inlineStr">
        <is>
          <t>Sí</t>
        </is>
      </c>
    </row>
    <row r="21" ht="62" customHeight="1">
      <c r="A21" s="12" t="inlineStr">
        <is>
          <t>ISO 27001:2022</t>
        </is>
      </c>
      <c r="B21" s="12" t="inlineStr">
        <is>
          <t>5.20</t>
        </is>
      </c>
      <c r="C21" s="12" t="inlineStr">
        <is>
          <t>Seguridad en contratos con proveedores. Qué debe levantar: Los contratos con proveedores incluyen requisitos de seguridad, confidencialidad, auditoría y devolución de datos.</t>
        </is>
      </c>
      <c r="D21" s="12" t="inlineStr">
        <is>
          <t>5. Controles Organizacionales</t>
        </is>
      </c>
      <c r="E21" s="35">
        <f>IF(COUNTIF('Registro entrevistas'!$F$30:$F$229,B21)=0,"",IF(COUNTIFS('Registro entrevistas'!$F$30:$F$229,B21,'Registro entrevistas'!$I$30:$I$229,"Sí")=0,IF(_xlfn.MINIFS('Registro entrevistas'!$J$30:$J$229,'Registro entrevistas'!$F$30:$F$229,B21)=0,"",MIN(3,_xlfn.MINIFS('Registro entrevistas'!$J$30:$J$229,'Registro entrevistas'!$F$30:$F$229,B21))),IF(_xlfn.MINIFS('Registro entrevistas'!$J$30:$J$229,'Registro entrevistas'!$F$30:$F$229,B21,'Registro entrevistas'!$I$30:$I$229,"Sí")=0,"",_xlfn.MINIFS('Registro entrevistas'!$J$30:$J$229,'Registro entrevistas'!$F$30:$F$229,B21,'Registro entrevistas'!$I$30:$I$229,"Sí"))))</f>
        <v/>
      </c>
      <c r="F21" s="12" t="n"/>
      <c r="G21" s="12" t="inlineStr">
        <is>
          <t>Sí</t>
        </is>
      </c>
    </row>
    <row r="22" ht="62" customHeight="1">
      <c r="A22" s="12" t="inlineStr">
        <is>
          <t>ISO 27001:2022</t>
        </is>
      </c>
      <c r="B22" s="12" t="inlineStr">
        <is>
          <t>5.21</t>
        </is>
      </c>
      <c r="C22" s="12" t="inlineStr">
        <is>
          <t>Gestión de seguridad en cadena TIC. Qué debe levantar: Se identifican y evalúan los proveedores TIC críticos y sus subcontratistas.</t>
        </is>
      </c>
      <c r="D22" s="12" t="inlineStr">
        <is>
          <t>5. Controles Organizacionales</t>
        </is>
      </c>
      <c r="E22" s="35">
        <f>IF(COUNTIF('Registro entrevistas'!$F$30:$F$229,B22)=0,"",IF(COUNTIFS('Registro entrevistas'!$F$30:$F$229,B22,'Registro entrevistas'!$I$30:$I$229,"Sí")=0,IF(_xlfn.MINIFS('Registro entrevistas'!$J$30:$J$229,'Registro entrevistas'!$F$30:$F$229,B22)=0,"",MIN(3,_xlfn.MINIFS('Registro entrevistas'!$J$30:$J$229,'Registro entrevistas'!$F$30:$F$229,B22))),IF(_xlfn.MINIFS('Registro entrevistas'!$J$30:$J$229,'Registro entrevistas'!$F$30:$F$229,B22,'Registro entrevistas'!$I$30:$I$229,"Sí")=0,"",_xlfn.MINIFS('Registro entrevistas'!$J$30:$J$229,'Registro entrevistas'!$F$30:$F$229,B22,'Registro entrevistas'!$I$30:$I$229,"Sí"))))</f>
        <v/>
      </c>
      <c r="F22" s="12" t="n"/>
      <c r="G22" s="12" t="inlineStr">
        <is>
          <t>Sí</t>
        </is>
      </c>
    </row>
    <row r="23" ht="62" customHeight="1">
      <c r="A23" s="12" t="inlineStr">
        <is>
          <t>ISO 27001:2022</t>
        </is>
      </c>
      <c r="B23" s="12" t="inlineStr">
        <is>
          <t>5.22</t>
        </is>
      </c>
      <c r="C23" s="12" t="inlineStr">
        <is>
          <t>Monitoreo de proveedores. Qué debe levantar: Se revisa el desempeño y el cumplimiento de seguridad de los proveedores.</t>
        </is>
      </c>
      <c r="D23" s="12" t="inlineStr">
        <is>
          <t>5. Controles Organizacionales</t>
        </is>
      </c>
      <c r="E23" s="35">
        <f>IF(COUNTIF('Registro entrevistas'!$F$30:$F$229,B23)=0,"",IF(COUNTIFS('Registro entrevistas'!$F$30:$F$229,B23,'Registro entrevistas'!$I$30:$I$229,"Sí")=0,IF(_xlfn.MINIFS('Registro entrevistas'!$J$30:$J$229,'Registro entrevistas'!$F$30:$F$229,B23)=0,"",MIN(3,_xlfn.MINIFS('Registro entrevistas'!$J$30:$J$229,'Registro entrevistas'!$F$30:$F$229,B23))),IF(_xlfn.MINIFS('Registro entrevistas'!$J$30:$J$229,'Registro entrevistas'!$F$30:$F$229,B23,'Registro entrevistas'!$I$30:$I$229,"Sí")=0,"",_xlfn.MINIFS('Registro entrevistas'!$J$30:$J$229,'Registro entrevistas'!$F$30:$F$229,B23,'Registro entrevistas'!$I$30:$I$229,"Sí"))))</f>
        <v/>
      </c>
      <c r="F23" s="12" t="n"/>
      <c r="G23" s="12" t="inlineStr">
        <is>
          <t>Sí</t>
        </is>
      </c>
    </row>
    <row r="24" ht="62" customHeight="1">
      <c r="A24" s="12" t="inlineStr">
        <is>
          <t>ISO 27001:2022</t>
        </is>
      </c>
      <c r="B24" s="12" t="inlineStr">
        <is>
          <t>5.23</t>
        </is>
      </c>
      <c r="C24" s="12" t="inlineStr">
        <is>
          <t>SI en servicios en la nube. Qué debe levantar: Los servicios en nube tienen responsabilidades definidas y su configuración se revisa.</t>
        </is>
      </c>
      <c r="D24" s="12" t="inlineStr">
        <is>
          <t>5. Controles Organizacionales</t>
        </is>
      </c>
      <c r="E24" s="35">
        <f>IF(COUNTIF('Registro entrevistas'!$F$30:$F$229,B24)=0,"",IF(COUNTIFS('Registro entrevistas'!$F$30:$F$229,B24,'Registro entrevistas'!$I$30:$I$229,"Sí")=0,IF(_xlfn.MINIFS('Registro entrevistas'!$J$30:$J$229,'Registro entrevistas'!$F$30:$F$229,B24)=0,"",MIN(3,_xlfn.MINIFS('Registro entrevistas'!$J$30:$J$229,'Registro entrevistas'!$F$30:$F$229,B24))),IF(_xlfn.MINIFS('Registro entrevistas'!$J$30:$J$229,'Registro entrevistas'!$F$30:$F$229,B24,'Registro entrevistas'!$I$30:$I$229,"Sí")=0,"",_xlfn.MINIFS('Registro entrevistas'!$J$30:$J$229,'Registro entrevistas'!$F$30:$F$229,B24,'Registro entrevistas'!$I$30:$I$229,"Sí"))))</f>
        <v/>
      </c>
      <c r="F24" s="12" t="n"/>
      <c r="G24" s="12" t="inlineStr">
        <is>
          <t>Sí</t>
        </is>
      </c>
    </row>
    <row r="25" ht="62" customHeight="1">
      <c r="A25" s="12" t="inlineStr">
        <is>
          <t>ISO 27001:2022</t>
        </is>
      </c>
      <c r="B25" s="12" t="inlineStr">
        <is>
          <t>5.24</t>
        </is>
      </c>
      <c r="C25" s="12" t="inlineStr">
        <is>
          <t>Planificación y preparación de gestión de incidentes. Qué debe levantar: Existe un plan de respuesta a incidentes con roles, contactos y canales de reporte.</t>
        </is>
      </c>
      <c r="D25" s="12" t="inlineStr">
        <is>
          <t>5. Controles Organizacionales</t>
        </is>
      </c>
      <c r="E25" s="35">
        <f>IF(COUNTIF('Registro entrevistas'!$F$30:$F$229,B25)=0,"",IF(COUNTIFS('Registro entrevistas'!$F$30:$F$229,B25,'Registro entrevistas'!$I$30:$I$229,"Sí")=0,IF(_xlfn.MINIFS('Registro entrevistas'!$J$30:$J$229,'Registro entrevistas'!$F$30:$F$229,B25)=0,"",MIN(3,_xlfn.MINIFS('Registro entrevistas'!$J$30:$J$229,'Registro entrevistas'!$F$30:$F$229,B25))),IF(_xlfn.MINIFS('Registro entrevistas'!$J$30:$J$229,'Registro entrevistas'!$F$30:$F$229,B25,'Registro entrevistas'!$I$30:$I$229,"Sí")=0,"",_xlfn.MINIFS('Registro entrevistas'!$J$30:$J$229,'Registro entrevistas'!$F$30:$F$229,B25,'Registro entrevistas'!$I$30:$I$229,"Sí"))))</f>
        <v/>
      </c>
      <c r="F25" s="12" t="n"/>
      <c r="G25" s="12" t="inlineStr">
        <is>
          <t>Sí</t>
        </is>
      </c>
    </row>
    <row r="26" ht="62" customHeight="1">
      <c r="A26" s="12" t="inlineStr">
        <is>
          <t>ISO 27001:2022</t>
        </is>
      </c>
      <c r="B26" s="12" t="inlineStr">
        <is>
          <t>5.25</t>
        </is>
      </c>
      <c r="C26" s="12" t="inlineStr">
        <is>
          <t>Evaluación y decisión sobre eventos de SI. Qué debe levantar: Los eventos de seguridad se evalúan para decidir si son incidentes.</t>
        </is>
      </c>
      <c r="D26" s="12" t="inlineStr">
        <is>
          <t>5. Controles Organizacionales</t>
        </is>
      </c>
      <c r="E26" s="35">
        <f>IF(COUNTIF('Registro entrevistas'!$F$30:$F$229,B26)=0,"",IF(COUNTIFS('Registro entrevistas'!$F$30:$F$229,B26,'Registro entrevistas'!$I$30:$I$229,"Sí")=0,IF(_xlfn.MINIFS('Registro entrevistas'!$J$30:$J$229,'Registro entrevistas'!$F$30:$F$229,B26)=0,"",MIN(3,_xlfn.MINIFS('Registro entrevistas'!$J$30:$J$229,'Registro entrevistas'!$F$30:$F$229,B26))),IF(_xlfn.MINIFS('Registro entrevistas'!$J$30:$J$229,'Registro entrevistas'!$F$30:$F$229,B26,'Registro entrevistas'!$I$30:$I$229,"Sí")=0,"",_xlfn.MINIFS('Registro entrevistas'!$J$30:$J$229,'Registro entrevistas'!$F$30:$F$229,B26,'Registro entrevistas'!$I$30:$I$229,"Sí"))))</f>
        <v/>
      </c>
      <c r="F26" s="12" t="n"/>
      <c r="G26" s="12" t="inlineStr">
        <is>
          <t>Sí</t>
        </is>
      </c>
    </row>
    <row r="27" ht="62" customHeight="1">
      <c r="A27" s="12" t="inlineStr">
        <is>
          <t>ISO 27001:2022</t>
        </is>
      </c>
      <c r="B27" s="12" t="inlineStr">
        <is>
          <t>5.26</t>
        </is>
      </c>
      <c r="C27" s="12" t="inlineStr">
        <is>
          <t>Respuesta a incidentes de SI. Qué debe levantar: Los incidentes se atienden según procedimiento, con registro y notificaciones.</t>
        </is>
      </c>
      <c r="D27" s="12" t="inlineStr">
        <is>
          <t>5. Controles Organizacionales</t>
        </is>
      </c>
      <c r="E27" s="35">
        <f>IF(COUNTIF('Registro entrevistas'!$F$30:$F$229,B27)=0,"",IF(COUNTIFS('Registro entrevistas'!$F$30:$F$229,B27,'Registro entrevistas'!$I$30:$I$229,"Sí")=0,IF(_xlfn.MINIFS('Registro entrevistas'!$J$30:$J$229,'Registro entrevistas'!$F$30:$F$229,B27)=0,"",MIN(3,_xlfn.MINIFS('Registro entrevistas'!$J$30:$J$229,'Registro entrevistas'!$F$30:$F$229,B27))),IF(_xlfn.MINIFS('Registro entrevistas'!$J$30:$J$229,'Registro entrevistas'!$F$30:$F$229,B27,'Registro entrevistas'!$I$30:$I$229,"Sí")=0,"",_xlfn.MINIFS('Registro entrevistas'!$J$30:$J$229,'Registro entrevistas'!$F$30:$F$229,B27,'Registro entrevistas'!$I$30:$I$229,"Sí"))))</f>
        <v/>
      </c>
      <c r="F27" s="12" t="n"/>
      <c r="G27" s="12" t="inlineStr">
        <is>
          <t>Sí</t>
        </is>
      </c>
    </row>
    <row r="28" ht="62" customHeight="1">
      <c r="A28" s="12" t="inlineStr">
        <is>
          <t>ISO 27001:2022</t>
        </is>
      </c>
      <c r="B28" s="12" t="inlineStr">
        <is>
          <t>5.27</t>
        </is>
      </c>
      <c r="C28" s="12" t="inlineStr">
        <is>
          <t>Aprendizaje de los incidentes. Qué debe levantar: Después de cada incidente se documentan las causas y las mejoras.</t>
        </is>
      </c>
      <c r="D28" s="12" t="inlineStr">
        <is>
          <t>5. Controles Organizacionales</t>
        </is>
      </c>
      <c r="E28" s="35">
        <f>IF(COUNTIF('Registro entrevistas'!$F$30:$F$229,B28)=0,"",IF(COUNTIFS('Registro entrevistas'!$F$30:$F$229,B28,'Registro entrevistas'!$I$30:$I$229,"Sí")=0,IF(_xlfn.MINIFS('Registro entrevistas'!$J$30:$J$229,'Registro entrevistas'!$F$30:$F$229,B28)=0,"",MIN(3,_xlfn.MINIFS('Registro entrevistas'!$J$30:$J$229,'Registro entrevistas'!$F$30:$F$229,B28))),IF(_xlfn.MINIFS('Registro entrevistas'!$J$30:$J$229,'Registro entrevistas'!$F$30:$F$229,B28,'Registro entrevistas'!$I$30:$I$229,"Sí")=0,"",_xlfn.MINIFS('Registro entrevistas'!$J$30:$J$229,'Registro entrevistas'!$F$30:$F$229,B28,'Registro entrevistas'!$I$30:$I$229,"Sí"))))</f>
        <v/>
      </c>
      <c r="F28" s="12" t="n"/>
      <c r="G28" s="12" t="inlineStr">
        <is>
          <t>Sí</t>
        </is>
      </c>
    </row>
    <row r="29" ht="62" customHeight="1">
      <c r="A29" s="12" t="inlineStr">
        <is>
          <t>ISO 27001:2022</t>
        </is>
      </c>
      <c r="B29" s="12" t="inlineStr">
        <is>
          <t>5.28</t>
        </is>
      </c>
      <c r="C29" s="12" t="inlineStr">
        <is>
          <t>Recolección de evidencia. Qué debe levantar: Se conserva evidencia de los incidentes de forma íntegra para investigaciones.</t>
        </is>
      </c>
      <c r="D29" s="12" t="inlineStr">
        <is>
          <t>5. Controles Organizacionales</t>
        </is>
      </c>
      <c r="E29" s="35">
        <f>IF(COUNTIF('Registro entrevistas'!$F$30:$F$229,B29)=0,"",IF(COUNTIFS('Registro entrevistas'!$F$30:$F$229,B29,'Registro entrevistas'!$I$30:$I$229,"Sí")=0,IF(_xlfn.MINIFS('Registro entrevistas'!$J$30:$J$229,'Registro entrevistas'!$F$30:$F$229,B29)=0,"",MIN(3,_xlfn.MINIFS('Registro entrevistas'!$J$30:$J$229,'Registro entrevistas'!$F$30:$F$229,B29))),IF(_xlfn.MINIFS('Registro entrevistas'!$J$30:$J$229,'Registro entrevistas'!$F$30:$F$229,B29,'Registro entrevistas'!$I$30:$I$229,"Sí")=0,"",_xlfn.MINIFS('Registro entrevistas'!$J$30:$J$229,'Registro entrevistas'!$F$30:$F$229,B29,'Registro entrevistas'!$I$30:$I$229,"Sí"))))</f>
        <v/>
      </c>
      <c r="F29" s="12" t="n"/>
      <c r="G29" s="12" t="inlineStr">
        <is>
          <t>Sí</t>
        </is>
      </c>
    </row>
    <row r="30" ht="62" customHeight="1">
      <c r="A30" s="12" t="inlineStr">
        <is>
          <t>ISO 27001:2022</t>
        </is>
      </c>
      <c r="B30" s="12" t="inlineStr">
        <is>
          <t>5.29</t>
        </is>
      </c>
      <c r="C30" s="12" t="inlineStr">
        <is>
          <t>Seguridad de la información durante disrupción. Qué debe levantar: Existen medidas de seguridad activas durante una interrupción operativa.</t>
        </is>
      </c>
      <c r="D30" s="12" t="inlineStr">
        <is>
          <t>5. Controles Organizacionales</t>
        </is>
      </c>
      <c r="E30" s="35">
        <f>IF(COUNTIF('Registro entrevistas'!$F$30:$F$229,B30)=0,"",IF(COUNTIFS('Registro entrevistas'!$F$30:$F$229,B30,'Registro entrevistas'!$I$30:$I$229,"Sí")=0,IF(_xlfn.MINIFS('Registro entrevistas'!$J$30:$J$229,'Registro entrevistas'!$F$30:$F$229,B30)=0,"",MIN(3,_xlfn.MINIFS('Registro entrevistas'!$J$30:$J$229,'Registro entrevistas'!$F$30:$F$229,B30))),IF(_xlfn.MINIFS('Registro entrevistas'!$J$30:$J$229,'Registro entrevistas'!$F$30:$F$229,B30,'Registro entrevistas'!$I$30:$I$229,"Sí")=0,"",_xlfn.MINIFS('Registro entrevistas'!$J$30:$J$229,'Registro entrevistas'!$F$30:$F$229,B30,'Registro entrevistas'!$I$30:$I$229,"Sí"))))</f>
        <v/>
      </c>
      <c r="F30" s="12" t="n"/>
      <c r="G30" s="12" t="inlineStr">
        <is>
          <t>Sí</t>
        </is>
      </c>
    </row>
    <row r="31" ht="62" customHeight="1">
      <c r="A31" s="12" t="inlineStr">
        <is>
          <t>ISO 27001:2022</t>
        </is>
      </c>
      <c r="B31" s="12" t="inlineStr">
        <is>
          <t>5.30</t>
        </is>
      </c>
      <c r="C31" s="12" t="inlineStr">
        <is>
          <t>Preparación TIC para continuidad. Qué debe levantar: Los sistemas críticos tienen plan de recuperación probado, con RTO y RPO definidos.</t>
        </is>
      </c>
      <c r="D31" s="12" t="inlineStr">
        <is>
          <t>5. Controles Organizacionales</t>
        </is>
      </c>
      <c r="E31" s="35">
        <f>IF(COUNTIF('Registro entrevistas'!$F$30:$F$229,B31)=0,"",IF(COUNTIFS('Registro entrevistas'!$F$30:$F$229,B31,'Registro entrevistas'!$I$30:$I$229,"Sí")=0,IF(_xlfn.MINIFS('Registro entrevistas'!$J$30:$J$229,'Registro entrevistas'!$F$30:$F$229,B31)=0,"",MIN(3,_xlfn.MINIFS('Registro entrevistas'!$J$30:$J$229,'Registro entrevistas'!$F$30:$F$229,B31))),IF(_xlfn.MINIFS('Registro entrevistas'!$J$30:$J$229,'Registro entrevistas'!$F$30:$F$229,B31,'Registro entrevistas'!$I$30:$I$229,"Sí")=0,"",_xlfn.MINIFS('Registro entrevistas'!$J$30:$J$229,'Registro entrevistas'!$F$30:$F$229,B31,'Registro entrevistas'!$I$30:$I$229,"Sí"))))</f>
        <v/>
      </c>
      <c r="F31" s="12" t="n"/>
      <c r="G31" s="12" t="inlineStr">
        <is>
          <t>Sí</t>
        </is>
      </c>
    </row>
    <row r="32" ht="62" customHeight="1">
      <c r="A32" s="12" t="inlineStr">
        <is>
          <t>ISO 27001:2022</t>
        </is>
      </c>
      <c r="B32" s="12" t="inlineStr">
        <is>
          <t>5.31</t>
        </is>
      </c>
      <c r="C32" s="12" t="inlineStr">
        <is>
          <t>Requisitos legales, estatutarios y contractuales. Qué debe levantar: Se identifican y actualizan las obligaciones legales (incluida la Ley 21.719) y quién es responsable.</t>
        </is>
      </c>
      <c r="D32" s="12" t="inlineStr">
        <is>
          <t>5. Controles Organizacionales</t>
        </is>
      </c>
      <c r="E32" s="35">
        <f>IF(COUNTIF('Registro entrevistas'!$F$30:$F$229,B32)=0,"",IF(COUNTIFS('Registro entrevistas'!$F$30:$F$229,B32,'Registro entrevistas'!$I$30:$I$229,"Sí")=0,IF(_xlfn.MINIFS('Registro entrevistas'!$J$30:$J$229,'Registro entrevistas'!$F$30:$F$229,B32)=0,"",MIN(3,_xlfn.MINIFS('Registro entrevistas'!$J$30:$J$229,'Registro entrevistas'!$F$30:$F$229,B32))),IF(_xlfn.MINIFS('Registro entrevistas'!$J$30:$J$229,'Registro entrevistas'!$F$30:$F$229,B32,'Registro entrevistas'!$I$30:$I$229,"Sí")=0,"",_xlfn.MINIFS('Registro entrevistas'!$J$30:$J$229,'Registro entrevistas'!$F$30:$F$229,B32,'Registro entrevistas'!$I$30:$I$229,"Sí"))))</f>
        <v/>
      </c>
      <c r="F32" s="12" t="n"/>
      <c r="G32" s="12" t="inlineStr">
        <is>
          <t>Sí</t>
        </is>
      </c>
    </row>
    <row r="33" ht="62" customHeight="1">
      <c r="A33" s="12" t="inlineStr">
        <is>
          <t>ISO 27001:2022</t>
        </is>
      </c>
      <c r="B33" s="12" t="inlineStr">
        <is>
          <t>5.32</t>
        </is>
      </c>
      <c r="C33" s="12" t="inlineStr">
        <is>
          <t>Derechos de propiedad intelectual. Qué debe levantar: Existe control de licencias de software y de propiedad intelectual.</t>
        </is>
      </c>
      <c r="D33" s="12" t="inlineStr">
        <is>
          <t>5. Controles Organizacionales</t>
        </is>
      </c>
      <c r="E33" s="35">
        <f>IF(COUNTIF('Registro entrevistas'!$F$30:$F$229,B33)=0,"",IF(COUNTIFS('Registro entrevistas'!$F$30:$F$229,B33,'Registro entrevistas'!$I$30:$I$229,"Sí")=0,IF(_xlfn.MINIFS('Registro entrevistas'!$J$30:$J$229,'Registro entrevistas'!$F$30:$F$229,B33)=0,"",MIN(3,_xlfn.MINIFS('Registro entrevistas'!$J$30:$J$229,'Registro entrevistas'!$F$30:$F$229,B33))),IF(_xlfn.MINIFS('Registro entrevistas'!$J$30:$J$229,'Registro entrevistas'!$F$30:$F$229,B33,'Registro entrevistas'!$I$30:$I$229,"Sí")=0,"",_xlfn.MINIFS('Registro entrevistas'!$J$30:$J$229,'Registro entrevistas'!$F$30:$F$229,B33,'Registro entrevistas'!$I$30:$I$229,"Sí"))))</f>
        <v/>
      </c>
      <c r="F33" s="12" t="n"/>
      <c r="G33" s="12" t="inlineStr">
        <is>
          <t>Sí</t>
        </is>
      </c>
    </row>
    <row r="34" ht="62" customHeight="1">
      <c r="A34" s="12" t="inlineStr">
        <is>
          <t>ISO 27001:2022</t>
        </is>
      </c>
      <c r="B34" s="12" t="inlineStr">
        <is>
          <t>5.33</t>
        </is>
      </c>
      <c r="C34" s="12" t="inlineStr">
        <is>
          <t>Protección de registros. Qué debe levantar: Los registros (contratos, logs, expedientes) están protegidos y tienen plazo de retención.</t>
        </is>
      </c>
      <c r="D34" s="12" t="inlineStr">
        <is>
          <t>5. Controles Organizacionales</t>
        </is>
      </c>
      <c r="E34" s="35">
        <f>IF(COUNTIF('Registro entrevistas'!$F$30:$F$229,B34)=0,"",IF(COUNTIFS('Registro entrevistas'!$F$30:$F$229,B34,'Registro entrevistas'!$I$30:$I$229,"Sí")=0,IF(_xlfn.MINIFS('Registro entrevistas'!$J$30:$J$229,'Registro entrevistas'!$F$30:$F$229,B34)=0,"",MIN(3,_xlfn.MINIFS('Registro entrevistas'!$J$30:$J$229,'Registro entrevistas'!$F$30:$F$229,B34))),IF(_xlfn.MINIFS('Registro entrevistas'!$J$30:$J$229,'Registro entrevistas'!$F$30:$F$229,B34,'Registro entrevistas'!$I$30:$I$229,"Sí")=0,"",_xlfn.MINIFS('Registro entrevistas'!$J$30:$J$229,'Registro entrevistas'!$F$30:$F$229,B34,'Registro entrevistas'!$I$30:$I$229,"Sí"))))</f>
        <v/>
      </c>
      <c r="F34" s="12" t="n"/>
      <c r="G34" s="12" t="inlineStr">
        <is>
          <t>Sí</t>
        </is>
      </c>
    </row>
    <row r="35" ht="62" customHeight="1">
      <c r="A35" s="12" t="inlineStr">
        <is>
          <t>ISO 27001:2022</t>
        </is>
      </c>
      <c r="B35" s="12" t="inlineStr">
        <is>
          <t>5.34</t>
        </is>
      </c>
      <c r="C35" s="12" t="inlineStr">
        <is>
          <t>Privacidad y protección de datos personales. Qué debe levantar: Existe un programa de privacidad: bases legales, avisos, derechos de los titulares y registro de tratamientos.</t>
        </is>
      </c>
      <c r="D35" s="12" t="inlineStr">
        <is>
          <t>5. Controles Organizacionales</t>
        </is>
      </c>
      <c r="E35" s="35">
        <f>IF(COUNTIF('Registro entrevistas'!$F$30:$F$229,B35)=0,"",IF(COUNTIFS('Registro entrevistas'!$F$30:$F$229,B35,'Registro entrevistas'!$I$30:$I$229,"Sí")=0,IF(_xlfn.MINIFS('Registro entrevistas'!$J$30:$J$229,'Registro entrevistas'!$F$30:$F$229,B35)=0,"",MIN(3,_xlfn.MINIFS('Registro entrevistas'!$J$30:$J$229,'Registro entrevistas'!$F$30:$F$229,B35))),IF(_xlfn.MINIFS('Registro entrevistas'!$J$30:$J$229,'Registro entrevistas'!$F$30:$F$229,B35,'Registro entrevistas'!$I$30:$I$229,"Sí")=0,"",_xlfn.MINIFS('Registro entrevistas'!$J$30:$J$229,'Registro entrevistas'!$F$30:$F$229,B35,'Registro entrevistas'!$I$30:$I$229,"Sí"))))</f>
        <v/>
      </c>
      <c r="F35" s="12" t="n"/>
      <c r="G35" s="12" t="inlineStr">
        <is>
          <t>Sí</t>
        </is>
      </c>
    </row>
    <row r="36" ht="62" customHeight="1">
      <c r="A36" s="12" t="inlineStr">
        <is>
          <t>ISO 27001:2022</t>
        </is>
      </c>
      <c r="B36" s="12" t="inlineStr">
        <is>
          <t>5.35</t>
        </is>
      </c>
      <c r="C36" s="12" t="inlineStr">
        <is>
          <t>Revisión independiente de SI. Qué debe levantar: La seguridad es revisada por auditoría interna o externa.</t>
        </is>
      </c>
      <c r="D36" s="12" t="inlineStr">
        <is>
          <t>5. Controles Organizacionales</t>
        </is>
      </c>
      <c r="E36" s="35">
        <f>IF(COUNTIF('Registro entrevistas'!$F$30:$F$229,B36)=0,"",IF(COUNTIFS('Registro entrevistas'!$F$30:$F$229,B36,'Registro entrevistas'!$I$30:$I$229,"Sí")=0,IF(_xlfn.MINIFS('Registro entrevistas'!$J$30:$J$229,'Registro entrevistas'!$F$30:$F$229,B36)=0,"",MIN(3,_xlfn.MINIFS('Registro entrevistas'!$J$30:$J$229,'Registro entrevistas'!$F$30:$F$229,B36))),IF(_xlfn.MINIFS('Registro entrevistas'!$J$30:$J$229,'Registro entrevistas'!$F$30:$F$229,B36,'Registro entrevistas'!$I$30:$I$229,"Sí")=0,"",_xlfn.MINIFS('Registro entrevistas'!$J$30:$J$229,'Registro entrevistas'!$F$30:$F$229,B36,'Registro entrevistas'!$I$30:$I$229,"Sí"))))</f>
        <v/>
      </c>
      <c r="F36" s="12" t="n"/>
      <c r="G36" s="12" t="inlineStr">
        <is>
          <t>Sí</t>
        </is>
      </c>
    </row>
    <row r="37" ht="62" customHeight="1">
      <c r="A37" s="12" t="inlineStr">
        <is>
          <t>ISO 27001:2022</t>
        </is>
      </c>
      <c r="B37" s="12" t="inlineStr">
        <is>
          <t>5.36</t>
        </is>
      </c>
      <c r="C37" s="12" t="inlineStr">
        <is>
          <t>Cumplimiento con políticas y normas de SI. Qué debe levantar: Se verifica periódicamente que las políticas se cumplen.</t>
        </is>
      </c>
      <c r="D37" s="12" t="inlineStr">
        <is>
          <t>5. Controles Organizacionales</t>
        </is>
      </c>
      <c r="E37" s="35">
        <f>IF(COUNTIF('Registro entrevistas'!$F$30:$F$229,B37)=0,"",IF(COUNTIFS('Registro entrevistas'!$F$30:$F$229,B37,'Registro entrevistas'!$I$30:$I$229,"Sí")=0,IF(_xlfn.MINIFS('Registro entrevistas'!$J$30:$J$229,'Registro entrevistas'!$F$30:$F$229,B37)=0,"",MIN(3,_xlfn.MINIFS('Registro entrevistas'!$J$30:$J$229,'Registro entrevistas'!$F$30:$F$229,B37))),IF(_xlfn.MINIFS('Registro entrevistas'!$J$30:$J$229,'Registro entrevistas'!$F$30:$F$229,B37,'Registro entrevistas'!$I$30:$I$229,"Sí")=0,"",_xlfn.MINIFS('Registro entrevistas'!$J$30:$J$229,'Registro entrevistas'!$F$30:$F$229,B37,'Registro entrevistas'!$I$30:$I$229,"Sí"))))</f>
        <v/>
      </c>
      <c r="F37" s="12" t="n"/>
      <c r="G37" s="12" t="inlineStr">
        <is>
          <t>Sí</t>
        </is>
      </c>
    </row>
    <row r="38" ht="62" customHeight="1">
      <c r="A38" s="12" t="inlineStr">
        <is>
          <t>ISO 27001:2022</t>
        </is>
      </c>
      <c r="B38" s="12" t="inlineStr">
        <is>
          <t>5.37</t>
        </is>
      </c>
      <c r="C38" s="12" t="inlineStr">
        <is>
          <t>Procedimientos de operación documentados. Qué debe levantar: Los procedimientos operativos están documentados y accesibles para quien los necesita.</t>
        </is>
      </c>
      <c r="D38" s="12" t="inlineStr">
        <is>
          <t>5. Controles Organizacionales</t>
        </is>
      </c>
      <c r="E38" s="35">
        <f>IF(COUNTIF('Registro entrevistas'!$F$30:$F$229,B38)=0,"",IF(COUNTIFS('Registro entrevistas'!$F$30:$F$229,B38,'Registro entrevistas'!$I$30:$I$229,"Sí")=0,IF(_xlfn.MINIFS('Registro entrevistas'!$J$30:$J$229,'Registro entrevistas'!$F$30:$F$229,B38)=0,"",MIN(3,_xlfn.MINIFS('Registro entrevistas'!$J$30:$J$229,'Registro entrevistas'!$F$30:$F$229,B38))),IF(_xlfn.MINIFS('Registro entrevistas'!$J$30:$J$229,'Registro entrevistas'!$F$30:$F$229,B38,'Registro entrevistas'!$I$30:$I$229,"Sí")=0,"",_xlfn.MINIFS('Registro entrevistas'!$J$30:$J$229,'Registro entrevistas'!$F$30:$F$229,B38,'Registro entrevistas'!$I$30:$I$229,"Sí"))))</f>
        <v/>
      </c>
      <c r="F38" s="12" t="n"/>
      <c r="G38" s="12" t="inlineStr">
        <is>
          <t>Sí</t>
        </is>
      </c>
    </row>
    <row r="39" ht="62" customHeight="1">
      <c r="A39" s="12" t="inlineStr">
        <is>
          <t>ISO 27001:2022</t>
        </is>
      </c>
      <c r="B39" s="12" t="inlineStr">
        <is>
          <t>6.1</t>
        </is>
      </c>
      <c r="C39" s="12" t="inlineStr">
        <is>
          <t>Selección de personal. Qué debe levantar: Se verifican antecedentes del personal antes de contratar, respetando la ley.</t>
        </is>
      </c>
      <c r="D39" s="12" t="inlineStr">
        <is>
          <t>6. Controles de Personas</t>
        </is>
      </c>
      <c r="E39" s="35">
        <f>IF(COUNTIF('Registro entrevistas'!$F$30:$F$229,B39)=0,"",IF(COUNTIFS('Registro entrevistas'!$F$30:$F$229,B39,'Registro entrevistas'!$I$30:$I$229,"Sí")=0,IF(_xlfn.MINIFS('Registro entrevistas'!$J$30:$J$229,'Registro entrevistas'!$F$30:$F$229,B39)=0,"",MIN(3,_xlfn.MINIFS('Registro entrevistas'!$J$30:$J$229,'Registro entrevistas'!$F$30:$F$229,B39))),IF(_xlfn.MINIFS('Registro entrevistas'!$J$30:$J$229,'Registro entrevistas'!$F$30:$F$229,B39,'Registro entrevistas'!$I$30:$I$229,"Sí")=0,"",_xlfn.MINIFS('Registro entrevistas'!$J$30:$J$229,'Registro entrevistas'!$F$30:$F$229,B39,'Registro entrevistas'!$I$30:$I$229,"Sí"))))</f>
        <v/>
      </c>
      <c r="F39" s="12" t="n"/>
      <c r="G39" s="12" t="inlineStr">
        <is>
          <t>Sí</t>
        </is>
      </c>
    </row>
    <row r="40" ht="62" customHeight="1">
      <c r="A40" s="12" t="inlineStr">
        <is>
          <t>ISO 27001:2022</t>
        </is>
      </c>
      <c r="B40" s="12" t="inlineStr">
        <is>
          <t>6.2</t>
        </is>
      </c>
      <c r="C40" s="12" t="inlineStr">
        <is>
          <t>Términos y condiciones de empleo. Qué debe levantar: Los contratos de trabajo incluyen responsabilidades de seguridad y privacidad.</t>
        </is>
      </c>
      <c r="D40" s="12" t="inlineStr">
        <is>
          <t>6. Controles de Personas</t>
        </is>
      </c>
      <c r="E40" s="35">
        <f>IF(COUNTIF('Registro entrevistas'!$F$30:$F$229,B40)=0,"",IF(COUNTIFS('Registro entrevistas'!$F$30:$F$229,B40,'Registro entrevistas'!$I$30:$I$229,"Sí")=0,IF(_xlfn.MINIFS('Registro entrevistas'!$J$30:$J$229,'Registro entrevistas'!$F$30:$F$229,B40)=0,"",MIN(3,_xlfn.MINIFS('Registro entrevistas'!$J$30:$J$229,'Registro entrevistas'!$F$30:$F$229,B40))),IF(_xlfn.MINIFS('Registro entrevistas'!$J$30:$J$229,'Registro entrevistas'!$F$30:$F$229,B40,'Registro entrevistas'!$I$30:$I$229,"Sí")=0,"",_xlfn.MINIFS('Registro entrevistas'!$J$30:$J$229,'Registro entrevistas'!$F$30:$F$229,B40,'Registro entrevistas'!$I$30:$I$229,"Sí"))))</f>
        <v/>
      </c>
      <c r="F40" s="12" t="n"/>
      <c r="G40" s="12" t="inlineStr">
        <is>
          <t>Sí</t>
        </is>
      </c>
    </row>
    <row r="41" ht="62" customHeight="1">
      <c r="A41" s="12" t="inlineStr">
        <is>
          <t>ISO 27001:2022</t>
        </is>
      </c>
      <c r="B41" s="12" t="inlineStr">
        <is>
          <t>6.3</t>
        </is>
      </c>
      <c r="C41" s="12" t="inlineStr">
        <is>
          <t>Concientización, educación y capacitación en SI. Qué debe levantar: El personal recibe capacitación en seguridad y privacidad, con registro de asistencia.</t>
        </is>
      </c>
      <c r="D41" s="12" t="inlineStr">
        <is>
          <t>6. Controles de Personas</t>
        </is>
      </c>
      <c r="E41" s="35">
        <f>IF(COUNTIF('Registro entrevistas'!$F$30:$F$229,B41)=0,"",IF(COUNTIFS('Registro entrevistas'!$F$30:$F$229,B41,'Registro entrevistas'!$I$30:$I$229,"Sí")=0,IF(_xlfn.MINIFS('Registro entrevistas'!$J$30:$J$229,'Registro entrevistas'!$F$30:$F$229,B41)=0,"",MIN(3,_xlfn.MINIFS('Registro entrevistas'!$J$30:$J$229,'Registro entrevistas'!$F$30:$F$229,B41))),IF(_xlfn.MINIFS('Registro entrevistas'!$J$30:$J$229,'Registro entrevistas'!$F$30:$F$229,B41,'Registro entrevistas'!$I$30:$I$229,"Sí")=0,"",_xlfn.MINIFS('Registro entrevistas'!$J$30:$J$229,'Registro entrevistas'!$F$30:$F$229,B41,'Registro entrevistas'!$I$30:$I$229,"Sí"))))</f>
        <v/>
      </c>
      <c r="F41" s="12" t="n"/>
      <c r="G41" s="12" t="inlineStr">
        <is>
          <t>Sí</t>
        </is>
      </c>
    </row>
    <row r="42" ht="62" customHeight="1">
      <c r="A42" s="12" t="inlineStr">
        <is>
          <t>ISO 27001:2022</t>
        </is>
      </c>
      <c r="B42" s="12" t="inlineStr">
        <is>
          <t>6.4</t>
        </is>
      </c>
      <c r="C42" s="12" t="inlineStr">
        <is>
          <t>Proceso disciplinario. Qué debe levantar: Existe un proceso formal de sanciones por incumplimiento de políticas.</t>
        </is>
      </c>
      <c r="D42" s="12" t="inlineStr">
        <is>
          <t>6. Controles de Personas</t>
        </is>
      </c>
      <c r="E42" s="35">
        <f>IF(COUNTIF('Registro entrevistas'!$F$30:$F$229,B42)=0,"",IF(COUNTIFS('Registro entrevistas'!$F$30:$F$229,B42,'Registro entrevistas'!$I$30:$I$229,"Sí")=0,IF(_xlfn.MINIFS('Registro entrevistas'!$J$30:$J$229,'Registro entrevistas'!$F$30:$F$229,B42)=0,"",MIN(3,_xlfn.MINIFS('Registro entrevistas'!$J$30:$J$229,'Registro entrevistas'!$F$30:$F$229,B42))),IF(_xlfn.MINIFS('Registro entrevistas'!$J$30:$J$229,'Registro entrevistas'!$F$30:$F$229,B42,'Registro entrevistas'!$I$30:$I$229,"Sí")=0,"",_xlfn.MINIFS('Registro entrevistas'!$J$30:$J$229,'Registro entrevistas'!$F$30:$F$229,B42,'Registro entrevistas'!$I$30:$I$229,"Sí"))))</f>
        <v/>
      </c>
      <c r="F42" s="12" t="n"/>
      <c r="G42" s="12" t="inlineStr">
        <is>
          <t>Sí</t>
        </is>
      </c>
    </row>
    <row r="43" ht="62" customHeight="1">
      <c r="A43" s="12" t="inlineStr">
        <is>
          <t>ISO 27001:2022</t>
        </is>
      </c>
      <c r="B43" s="12" t="inlineStr">
        <is>
          <t>6.5</t>
        </is>
      </c>
      <c r="C43" s="12" t="inlineStr">
        <is>
          <t>Responsabilidades ante terminación o cambio de empleo. Qué debe levantar: Al término o cambio de cargo se revocan accesos y se recuperan activos.</t>
        </is>
      </c>
      <c r="D43" s="12" t="inlineStr">
        <is>
          <t>6. Controles de Personas</t>
        </is>
      </c>
      <c r="E43" s="35">
        <f>IF(COUNTIF('Registro entrevistas'!$F$30:$F$229,B43)=0,"",IF(COUNTIFS('Registro entrevistas'!$F$30:$F$229,B43,'Registro entrevistas'!$I$30:$I$229,"Sí")=0,IF(_xlfn.MINIFS('Registro entrevistas'!$J$30:$J$229,'Registro entrevistas'!$F$30:$F$229,B43)=0,"",MIN(3,_xlfn.MINIFS('Registro entrevistas'!$J$30:$J$229,'Registro entrevistas'!$F$30:$F$229,B43))),IF(_xlfn.MINIFS('Registro entrevistas'!$J$30:$J$229,'Registro entrevistas'!$F$30:$F$229,B43,'Registro entrevistas'!$I$30:$I$229,"Sí")=0,"",_xlfn.MINIFS('Registro entrevistas'!$J$30:$J$229,'Registro entrevistas'!$F$30:$F$229,B43,'Registro entrevistas'!$I$30:$I$229,"Sí"))))</f>
        <v/>
      </c>
      <c r="F43" s="12" t="n"/>
      <c r="G43" s="12" t="inlineStr">
        <is>
          <t>Sí</t>
        </is>
      </c>
    </row>
    <row r="44" ht="62" customHeight="1">
      <c r="A44" s="12" t="inlineStr">
        <is>
          <t>ISO 27001:2022</t>
        </is>
      </c>
      <c r="B44" s="12" t="inlineStr">
        <is>
          <t>6.6</t>
        </is>
      </c>
      <c r="C44" s="12" t="inlineStr">
        <is>
          <t>Acuerdos de confidencialidad. Qué debe levantar: Existen acuerdos de confidencialidad firmados por el personal y terceros.</t>
        </is>
      </c>
      <c r="D44" s="12" t="inlineStr">
        <is>
          <t>6. Controles de Personas</t>
        </is>
      </c>
      <c r="E44" s="35">
        <f>IF(COUNTIF('Registro entrevistas'!$F$30:$F$229,B44)=0,"",IF(COUNTIFS('Registro entrevistas'!$F$30:$F$229,B44,'Registro entrevistas'!$I$30:$I$229,"Sí")=0,IF(_xlfn.MINIFS('Registro entrevistas'!$J$30:$J$229,'Registro entrevistas'!$F$30:$F$229,B44)=0,"",MIN(3,_xlfn.MINIFS('Registro entrevistas'!$J$30:$J$229,'Registro entrevistas'!$F$30:$F$229,B44))),IF(_xlfn.MINIFS('Registro entrevistas'!$J$30:$J$229,'Registro entrevistas'!$F$30:$F$229,B44,'Registro entrevistas'!$I$30:$I$229,"Sí")=0,"",_xlfn.MINIFS('Registro entrevistas'!$J$30:$J$229,'Registro entrevistas'!$F$30:$F$229,B44,'Registro entrevistas'!$I$30:$I$229,"Sí"))))</f>
        <v/>
      </c>
      <c r="F44" s="12" t="n"/>
      <c r="G44" s="12" t="inlineStr">
        <is>
          <t>Sí</t>
        </is>
      </c>
    </row>
    <row r="45" ht="62" customHeight="1">
      <c r="A45" s="12" t="inlineStr">
        <is>
          <t>ISO 27001:2022</t>
        </is>
      </c>
      <c r="B45" s="12" t="inlineStr">
        <is>
          <t>6.7</t>
        </is>
      </c>
      <c r="C45" s="12" t="inlineStr">
        <is>
          <t>Trabajo remoto. Qué debe levantar: El trabajo remoto tiene reglas sobre equipos, redes y lugares de trabajo.</t>
        </is>
      </c>
      <c r="D45" s="12" t="inlineStr">
        <is>
          <t>6. Controles de Personas</t>
        </is>
      </c>
      <c r="E45" s="35">
        <f>IF(COUNTIF('Registro entrevistas'!$F$30:$F$229,B45)=0,"",IF(COUNTIFS('Registro entrevistas'!$F$30:$F$229,B45,'Registro entrevistas'!$I$30:$I$229,"Sí")=0,IF(_xlfn.MINIFS('Registro entrevistas'!$J$30:$J$229,'Registro entrevistas'!$F$30:$F$229,B45)=0,"",MIN(3,_xlfn.MINIFS('Registro entrevistas'!$J$30:$J$229,'Registro entrevistas'!$F$30:$F$229,B45))),IF(_xlfn.MINIFS('Registro entrevistas'!$J$30:$J$229,'Registro entrevistas'!$F$30:$F$229,B45,'Registro entrevistas'!$I$30:$I$229,"Sí")=0,"",_xlfn.MINIFS('Registro entrevistas'!$J$30:$J$229,'Registro entrevistas'!$F$30:$F$229,B45,'Registro entrevistas'!$I$30:$I$229,"Sí"))))</f>
        <v/>
      </c>
      <c r="F45" s="12" t="n"/>
      <c r="G45" s="12" t="inlineStr">
        <is>
          <t>Sí</t>
        </is>
      </c>
    </row>
    <row r="46" ht="62" customHeight="1">
      <c r="A46" s="12" t="inlineStr">
        <is>
          <t>ISO 27001:2022</t>
        </is>
      </c>
      <c r="B46" s="12" t="inlineStr">
        <is>
          <t>6.8</t>
        </is>
      </c>
      <c r="C46" s="12" t="inlineStr">
        <is>
          <t>Reporte de eventos de SI. Qué debe levantar: El personal sabe cómo y dónde reportar un evento sospechoso.</t>
        </is>
      </c>
      <c r="D46" s="12" t="inlineStr">
        <is>
          <t>6. Controles de Personas</t>
        </is>
      </c>
      <c r="E46" s="35">
        <f>IF(COUNTIF('Registro entrevistas'!$F$30:$F$229,B46)=0,"",IF(COUNTIFS('Registro entrevistas'!$F$30:$F$229,B46,'Registro entrevistas'!$I$30:$I$229,"Sí")=0,IF(_xlfn.MINIFS('Registro entrevistas'!$J$30:$J$229,'Registro entrevistas'!$F$30:$F$229,B46)=0,"",MIN(3,_xlfn.MINIFS('Registro entrevistas'!$J$30:$J$229,'Registro entrevistas'!$F$30:$F$229,B46))),IF(_xlfn.MINIFS('Registro entrevistas'!$J$30:$J$229,'Registro entrevistas'!$F$30:$F$229,B46,'Registro entrevistas'!$I$30:$I$229,"Sí")=0,"",_xlfn.MINIFS('Registro entrevistas'!$J$30:$J$229,'Registro entrevistas'!$F$30:$F$229,B46,'Registro entrevistas'!$I$30:$I$229,"Sí"))))</f>
        <v/>
      </c>
      <c r="F46" s="12" t="n"/>
      <c r="G46" s="12" t="inlineStr">
        <is>
          <t>Sí</t>
        </is>
      </c>
    </row>
    <row r="47" ht="62" customHeight="1">
      <c r="A47" s="12" t="inlineStr">
        <is>
          <t>ISO 27001:2022</t>
        </is>
      </c>
      <c r="B47" s="12" t="inlineStr">
        <is>
          <t>7.1</t>
        </is>
      </c>
      <c r="C47" s="12" t="inlineStr">
        <is>
          <t>Perímetros de seguridad física. Qué debe levantar: Las áreas sensibles están delimitadas con barreras físicas.</t>
        </is>
      </c>
      <c r="D47" s="12" t="inlineStr">
        <is>
          <t>7. Controles Físicos</t>
        </is>
      </c>
      <c r="E47" s="35">
        <f>IF(COUNTIF('Registro entrevistas'!$F$30:$F$229,B47)=0,"",IF(COUNTIFS('Registro entrevistas'!$F$30:$F$229,B47,'Registro entrevistas'!$I$30:$I$229,"Sí")=0,IF(_xlfn.MINIFS('Registro entrevistas'!$J$30:$J$229,'Registro entrevistas'!$F$30:$F$229,B47)=0,"",MIN(3,_xlfn.MINIFS('Registro entrevistas'!$J$30:$J$229,'Registro entrevistas'!$F$30:$F$229,B47))),IF(_xlfn.MINIFS('Registro entrevistas'!$J$30:$J$229,'Registro entrevistas'!$F$30:$F$229,B47,'Registro entrevistas'!$I$30:$I$229,"Sí")=0,"",_xlfn.MINIFS('Registro entrevistas'!$J$30:$J$229,'Registro entrevistas'!$F$30:$F$229,B47,'Registro entrevistas'!$I$30:$I$229,"Sí"))))</f>
        <v/>
      </c>
      <c r="F47" s="12" t="n"/>
      <c r="G47" s="12" t="inlineStr">
        <is>
          <t>Sí</t>
        </is>
      </c>
    </row>
    <row r="48" ht="62" customHeight="1">
      <c r="A48" s="12" t="inlineStr">
        <is>
          <t>ISO 27001:2022</t>
        </is>
      </c>
      <c r="B48" s="12" t="inlineStr">
        <is>
          <t>7.2</t>
        </is>
      </c>
      <c r="C48" s="12" t="inlineStr">
        <is>
          <t>Controles de entrada física. Qué debe levantar: El ingreso a áreas seguras está controlado y registrado.</t>
        </is>
      </c>
      <c r="D48" s="12" t="inlineStr">
        <is>
          <t>7. Controles Físicos</t>
        </is>
      </c>
      <c r="E48" s="35">
        <f>IF(COUNTIF('Registro entrevistas'!$F$30:$F$229,B48)=0,"",IF(COUNTIFS('Registro entrevistas'!$F$30:$F$229,B48,'Registro entrevistas'!$I$30:$I$229,"Sí")=0,IF(_xlfn.MINIFS('Registro entrevistas'!$J$30:$J$229,'Registro entrevistas'!$F$30:$F$229,B48)=0,"",MIN(3,_xlfn.MINIFS('Registro entrevistas'!$J$30:$J$229,'Registro entrevistas'!$F$30:$F$229,B48))),IF(_xlfn.MINIFS('Registro entrevistas'!$J$30:$J$229,'Registro entrevistas'!$F$30:$F$229,B48,'Registro entrevistas'!$I$30:$I$229,"Sí")=0,"",_xlfn.MINIFS('Registro entrevistas'!$J$30:$J$229,'Registro entrevistas'!$F$30:$F$229,B48,'Registro entrevistas'!$I$30:$I$229,"Sí"))))</f>
        <v/>
      </c>
      <c r="F48" s="12" t="n"/>
      <c r="G48" s="12" t="inlineStr">
        <is>
          <t>Sí</t>
        </is>
      </c>
    </row>
    <row r="49" ht="62" customHeight="1">
      <c r="A49" s="12" t="inlineStr">
        <is>
          <t>ISO 27001:2022</t>
        </is>
      </c>
      <c r="B49" s="12" t="inlineStr">
        <is>
          <t>7.3</t>
        </is>
      </c>
      <c r="C49" s="12" t="inlineStr">
        <is>
          <t>Seguridad de oficinas, recintos e instalaciones. Qué debe levantar: Oficinas, bodegas y recintos tienen protección física acorde a su sensibilidad.</t>
        </is>
      </c>
      <c r="D49" s="12" t="inlineStr">
        <is>
          <t>7. Controles Físicos</t>
        </is>
      </c>
      <c r="E49" s="35">
        <f>IF(COUNTIF('Registro entrevistas'!$F$30:$F$229,B49)=0,"",IF(COUNTIFS('Registro entrevistas'!$F$30:$F$229,B49,'Registro entrevistas'!$I$30:$I$229,"Sí")=0,IF(_xlfn.MINIFS('Registro entrevistas'!$J$30:$J$229,'Registro entrevistas'!$F$30:$F$229,B49)=0,"",MIN(3,_xlfn.MINIFS('Registro entrevistas'!$J$30:$J$229,'Registro entrevistas'!$F$30:$F$229,B49))),IF(_xlfn.MINIFS('Registro entrevistas'!$J$30:$J$229,'Registro entrevistas'!$F$30:$F$229,B49,'Registro entrevistas'!$I$30:$I$229,"Sí")=0,"",_xlfn.MINIFS('Registro entrevistas'!$J$30:$J$229,'Registro entrevistas'!$F$30:$F$229,B49,'Registro entrevistas'!$I$30:$I$229,"Sí"))))</f>
        <v/>
      </c>
      <c r="F49" s="12" t="n"/>
      <c r="G49" s="12" t="inlineStr">
        <is>
          <t>Sí</t>
        </is>
      </c>
    </row>
    <row r="50" ht="62" customHeight="1">
      <c r="A50" s="12" t="inlineStr">
        <is>
          <t>ISO 27001:2022</t>
        </is>
      </c>
      <c r="B50" s="12" t="inlineStr">
        <is>
          <t>7.4</t>
        </is>
      </c>
      <c r="C50" s="12" t="inlineStr">
        <is>
          <t>Monitoreo de seguridad física. Qué debe levantar: Existe vigilancia (CCTV, alarmas) con plazo de retención definido.</t>
        </is>
      </c>
      <c r="D50" s="12" t="inlineStr">
        <is>
          <t>7. Controles Físicos</t>
        </is>
      </c>
      <c r="E50" s="35">
        <f>IF(COUNTIF('Registro entrevistas'!$F$30:$F$229,B50)=0,"",IF(COUNTIFS('Registro entrevistas'!$F$30:$F$229,B50,'Registro entrevistas'!$I$30:$I$229,"Sí")=0,IF(_xlfn.MINIFS('Registro entrevistas'!$J$30:$J$229,'Registro entrevistas'!$F$30:$F$229,B50)=0,"",MIN(3,_xlfn.MINIFS('Registro entrevistas'!$J$30:$J$229,'Registro entrevistas'!$F$30:$F$229,B50))),IF(_xlfn.MINIFS('Registro entrevistas'!$J$30:$J$229,'Registro entrevistas'!$F$30:$F$229,B50,'Registro entrevistas'!$I$30:$I$229,"Sí")=0,"",_xlfn.MINIFS('Registro entrevistas'!$J$30:$J$229,'Registro entrevistas'!$F$30:$F$229,B50,'Registro entrevistas'!$I$30:$I$229,"Sí"))))</f>
        <v/>
      </c>
      <c r="F50" s="12" t="n"/>
      <c r="G50" s="12" t="inlineStr">
        <is>
          <t>Sí</t>
        </is>
      </c>
    </row>
    <row r="51" ht="62" customHeight="1">
      <c r="A51" s="12" t="inlineStr">
        <is>
          <t>ISO 27001:2022</t>
        </is>
      </c>
      <c r="B51" s="12" t="inlineStr">
        <is>
          <t>7.5</t>
        </is>
      </c>
      <c r="C51" s="12" t="inlineStr">
        <is>
          <t>Protección contra amenazas físicas y ambientales. Qué debe levantar: Existe protección contra incendio, inundación, temperatura y otras amenazas ambientales.</t>
        </is>
      </c>
      <c r="D51" s="12" t="inlineStr">
        <is>
          <t>7. Controles Físicos</t>
        </is>
      </c>
      <c r="E51" s="35">
        <f>IF(COUNTIF('Registro entrevistas'!$F$30:$F$229,B51)=0,"",IF(COUNTIFS('Registro entrevistas'!$F$30:$F$229,B51,'Registro entrevistas'!$I$30:$I$229,"Sí")=0,IF(_xlfn.MINIFS('Registro entrevistas'!$J$30:$J$229,'Registro entrevistas'!$F$30:$F$229,B51)=0,"",MIN(3,_xlfn.MINIFS('Registro entrevistas'!$J$30:$J$229,'Registro entrevistas'!$F$30:$F$229,B51))),IF(_xlfn.MINIFS('Registro entrevistas'!$J$30:$J$229,'Registro entrevistas'!$F$30:$F$229,B51,'Registro entrevistas'!$I$30:$I$229,"Sí")=0,"",_xlfn.MINIFS('Registro entrevistas'!$J$30:$J$229,'Registro entrevistas'!$F$30:$F$229,B51,'Registro entrevistas'!$I$30:$I$229,"Sí"))))</f>
        <v/>
      </c>
      <c r="F51" s="12" t="n"/>
      <c r="G51" s="12" t="inlineStr">
        <is>
          <t>Sí</t>
        </is>
      </c>
    </row>
    <row r="52" ht="62" customHeight="1">
      <c r="A52" s="12" t="inlineStr">
        <is>
          <t>ISO 27001:2022</t>
        </is>
      </c>
      <c r="B52" s="12" t="inlineStr">
        <is>
          <t>7.6</t>
        </is>
      </c>
      <c r="C52" s="12" t="inlineStr">
        <is>
          <t>Trabajo en áreas seguras. Qué debe levantar: Existen reglas para trabajar en áreas seguras.</t>
        </is>
      </c>
      <c r="D52" s="12" t="inlineStr">
        <is>
          <t>7. Controles Físicos</t>
        </is>
      </c>
      <c r="E52" s="35">
        <f>IF(COUNTIF('Registro entrevistas'!$F$30:$F$229,B52)=0,"",IF(COUNTIFS('Registro entrevistas'!$F$30:$F$229,B52,'Registro entrevistas'!$I$30:$I$229,"Sí")=0,IF(_xlfn.MINIFS('Registro entrevistas'!$J$30:$J$229,'Registro entrevistas'!$F$30:$F$229,B52)=0,"",MIN(3,_xlfn.MINIFS('Registro entrevistas'!$J$30:$J$229,'Registro entrevistas'!$F$30:$F$229,B52))),IF(_xlfn.MINIFS('Registro entrevistas'!$J$30:$J$229,'Registro entrevistas'!$F$30:$F$229,B52,'Registro entrevistas'!$I$30:$I$229,"Sí")=0,"",_xlfn.MINIFS('Registro entrevistas'!$J$30:$J$229,'Registro entrevistas'!$F$30:$F$229,B52,'Registro entrevistas'!$I$30:$I$229,"Sí"))))</f>
        <v/>
      </c>
      <c r="F52" s="12" t="n"/>
      <c r="G52" s="12" t="inlineStr">
        <is>
          <t>Sí</t>
        </is>
      </c>
    </row>
    <row r="53" ht="62" customHeight="1">
      <c r="A53" s="12" t="inlineStr">
        <is>
          <t>ISO 27001:2022</t>
        </is>
      </c>
      <c r="B53" s="12" t="inlineStr">
        <is>
          <t>7.7</t>
        </is>
      </c>
      <c r="C53" s="12" t="inlineStr">
        <is>
          <t>Escritorio limpio y pantalla limpia. Qué debe levantar: Documentos y pantallas quedan protegidos cuando el personal se ausenta.</t>
        </is>
      </c>
      <c r="D53" s="12" t="inlineStr">
        <is>
          <t>7. Controles Físicos</t>
        </is>
      </c>
      <c r="E53" s="35">
        <f>IF(COUNTIF('Registro entrevistas'!$F$30:$F$229,B53)=0,"",IF(COUNTIFS('Registro entrevistas'!$F$30:$F$229,B53,'Registro entrevistas'!$I$30:$I$229,"Sí")=0,IF(_xlfn.MINIFS('Registro entrevistas'!$J$30:$J$229,'Registro entrevistas'!$F$30:$F$229,B53)=0,"",MIN(3,_xlfn.MINIFS('Registro entrevistas'!$J$30:$J$229,'Registro entrevistas'!$F$30:$F$229,B53))),IF(_xlfn.MINIFS('Registro entrevistas'!$J$30:$J$229,'Registro entrevistas'!$F$30:$F$229,B53,'Registro entrevistas'!$I$30:$I$229,"Sí")=0,"",_xlfn.MINIFS('Registro entrevistas'!$J$30:$J$229,'Registro entrevistas'!$F$30:$F$229,B53,'Registro entrevistas'!$I$30:$I$229,"Sí"))))</f>
        <v/>
      </c>
      <c r="F53" s="12" t="n"/>
      <c r="G53" s="12" t="inlineStr">
        <is>
          <t>Sí</t>
        </is>
      </c>
    </row>
    <row r="54" ht="62" customHeight="1">
      <c r="A54" s="12" t="inlineStr">
        <is>
          <t>ISO 27001:2022</t>
        </is>
      </c>
      <c r="B54" s="12" t="inlineStr">
        <is>
          <t>7.8</t>
        </is>
      </c>
      <c r="C54" s="12" t="inlineStr">
        <is>
          <t>Ubicación y protección de equipos. Qué debe levantar: Los equipos están ubicados para evitar acceso o daño no autorizado.</t>
        </is>
      </c>
      <c r="D54" s="12" t="inlineStr">
        <is>
          <t>7. Controles Físicos</t>
        </is>
      </c>
      <c r="E54" s="35">
        <f>IF(COUNTIF('Registro entrevistas'!$F$30:$F$229,B54)=0,"",IF(COUNTIFS('Registro entrevistas'!$F$30:$F$229,B54,'Registro entrevistas'!$I$30:$I$229,"Sí")=0,IF(_xlfn.MINIFS('Registro entrevistas'!$J$30:$J$229,'Registro entrevistas'!$F$30:$F$229,B54)=0,"",MIN(3,_xlfn.MINIFS('Registro entrevistas'!$J$30:$J$229,'Registro entrevistas'!$F$30:$F$229,B54))),IF(_xlfn.MINIFS('Registro entrevistas'!$J$30:$J$229,'Registro entrevistas'!$F$30:$F$229,B54,'Registro entrevistas'!$I$30:$I$229,"Sí")=0,"",_xlfn.MINIFS('Registro entrevistas'!$J$30:$J$229,'Registro entrevistas'!$F$30:$F$229,B54,'Registro entrevistas'!$I$30:$I$229,"Sí"))))</f>
        <v/>
      </c>
      <c r="F54" s="12" t="n"/>
      <c r="G54" s="12" t="inlineStr">
        <is>
          <t>Sí</t>
        </is>
      </c>
    </row>
    <row r="55" ht="62" customHeight="1">
      <c r="A55" s="12" t="inlineStr">
        <is>
          <t>ISO 27001:2022</t>
        </is>
      </c>
      <c r="B55" s="12" t="inlineStr">
        <is>
          <t>7.9</t>
        </is>
      </c>
      <c r="C55" s="12" t="inlineStr">
        <is>
          <t>Seguridad de activos fuera de las instalaciones. Qué debe levantar: Los equipos y datos fuera de la oficina tienen protección (cifrado, control de salida).</t>
        </is>
      </c>
      <c r="D55" s="12" t="inlineStr">
        <is>
          <t>7. Controles Físicos</t>
        </is>
      </c>
      <c r="E55" s="35">
        <f>IF(COUNTIF('Registro entrevistas'!$F$30:$F$229,B55)=0,"",IF(COUNTIFS('Registro entrevistas'!$F$30:$F$229,B55,'Registro entrevistas'!$I$30:$I$229,"Sí")=0,IF(_xlfn.MINIFS('Registro entrevistas'!$J$30:$J$229,'Registro entrevistas'!$F$30:$F$229,B55)=0,"",MIN(3,_xlfn.MINIFS('Registro entrevistas'!$J$30:$J$229,'Registro entrevistas'!$F$30:$F$229,B55))),IF(_xlfn.MINIFS('Registro entrevistas'!$J$30:$J$229,'Registro entrevistas'!$F$30:$F$229,B55,'Registro entrevistas'!$I$30:$I$229,"Sí")=0,"",_xlfn.MINIFS('Registro entrevistas'!$J$30:$J$229,'Registro entrevistas'!$F$30:$F$229,B55,'Registro entrevistas'!$I$30:$I$229,"Sí"))))</f>
        <v/>
      </c>
      <c r="F55" s="12" t="n"/>
      <c r="G55" s="12" t="inlineStr">
        <is>
          <t>Sí</t>
        </is>
      </c>
    </row>
    <row r="56" ht="62" customHeight="1">
      <c r="A56" s="12" t="inlineStr">
        <is>
          <t>ISO 27001:2022</t>
        </is>
      </c>
      <c r="B56" s="12" t="inlineStr">
        <is>
          <t>7.10</t>
        </is>
      </c>
      <c r="C56" s="12" t="inlineStr">
        <is>
          <t>Medios de almacenamiento. Qué debe levantar: Los medios removibles (USB, discos) están controlados y cifrados.</t>
        </is>
      </c>
      <c r="D56" s="12" t="inlineStr">
        <is>
          <t>7. Controles Físicos</t>
        </is>
      </c>
      <c r="E56" s="35">
        <f>IF(COUNTIF('Registro entrevistas'!$F$30:$F$229,B56)=0,"",IF(COUNTIFS('Registro entrevistas'!$F$30:$F$229,B56,'Registro entrevistas'!$I$30:$I$229,"Sí")=0,IF(_xlfn.MINIFS('Registro entrevistas'!$J$30:$J$229,'Registro entrevistas'!$F$30:$F$229,B56)=0,"",MIN(3,_xlfn.MINIFS('Registro entrevistas'!$J$30:$J$229,'Registro entrevistas'!$F$30:$F$229,B56))),IF(_xlfn.MINIFS('Registro entrevistas'!$J$30:$J$229,'Registro entrevistas'!$F$30:$F$229,B56,'Registro entrevistas'!$I$30:$I$229,"Sí")=0,"",_xlfn.MINIFS('Registro entrevistas'!$J$30:$J$229,'Registro entrevistas'!$F$30:$F$229,B56,'Registro entrevistas'!$I$30:$I$229,"Sí"))))</f>
        <v/>
      </c>
      <c r="F56" s="12" t="n"/>
      <c r="G56" s="12" t="inlineStr">
        <is>
          <t>Sí</t>
        </is>
      </c>
    </row>
    <row r="57" ht="62" customHeight="1">
      <c r="A57" s="12" t="inlineStr">
        <is>
          <t>ISO 27001:2022</t>
        </is>
      </c>
      <c r="B57" s="12" t="inlineStr">
        <is>
          <t>7.11</t>
        </is>
      </c>
      <c r="C57" s="12" t="inlineStr">
        <is>
          <t>Servicios de suministro. Qué debe levantar: Energía, agua y comunicaciones están protegidas (UPS, respaldos).</t>
        </is>
      </c>
      <c r="D57" s="12" t="inlineStr">
        <is>
          <t>7. Controles Físicos</t>
        </is>
      </c>
      <c r="E57" s="35">
        <f>IF(COUNTIF('Registro entrevistas'!$F$30:$F$229,B57)=0,"",IF(COUNTIFS('Registro entrevistas'!$F$30:$F$229,B57,'Registro entrevistas'!$I$30:$I$229,"Sí")=0,IF(_xlfn.MINIFS('Registro entrevistas'!$J$30:$J$229,'Registro entrevistas'!$F$30:$F$229,B57)=0,"",MIN(3,_xlfn.MINIFS('Registro entrevistas'!$J$30:$J$229,'Registro entrevistas'!$F$30:$F$229,B57))),IF(_xlfn.MINIFS('Registro entrevistas'!$J$30:$J$229,'Registro entrevistas'!$F$30:$F$229,B57,'Registro entrevistas'!$I$30:$I$229,"Sí")=0,"",_xlfn.MINIFS('Registro entrevistas'!$J$30:$J$229,'Registro entrevistas'!$F$30:$F$229,B57,'Registro entrevistas'!$I$30:$I$229,"Sí"))))</f>
        <v/>
      </c>
      <c r="F57" s="12" t="n"/>
      <c r="G57" s="12" t="inlineStr">
        <is>
          <t>Sí</t>
        </is>
      </c>
    </row>
    <row r="58" ht="62" customHeight="1">
      <c r="A58" s="12" t="inlineStr">
        <is>
          <t>ISO 27001:2022</t>
        </is>
      </c>
      <c r="B58" s="12" t="inlineStr">
        <is>
          <t>7.12</t>
        </is>
      </c>
      <c r="C58" s="12" t="inlineStr">
        <is>
          <t>Seguridad del cableado. Qué debe levantar: El cableado está protegido contra daño o interceptación.</t>
        </is>
      </c>
      <c r="D58" s="12" t="inlineStr">
        <is>
          <t>7. Controles Físicos</t>
        </is>
      </c>
      <c r="E58" s="35">
        <f>IF(COUNTIF('Registro entrevistas'!$F$30:$F$229,B58)=0,"",IF(COUNTIFS('Registro entrevistas'!$F$30:$F$229,B58,'Registro entrevistas'!$I$30:$I$229,"Sí")=0,IF(_xlfn.MINIFS('Registro entrevistas'!$J$30:$J$229,'Registro entrevistas'!$F$30:$F$229,B58)=0,"",MIN(3,_xlfn.MINIFS('Registro entrevistas'!$J$30:$J$229,'Registro entrevistas'!$F$30:$F$229,B58))),IF(_xlfn.MINIFS('Registro entrevistas'!$J$30:$J$229,'Registro entrevistas'!$F$30:$F$229,B58,'Registro entrevistas'!$I$30:$I$229,"Sí")=0,"",_xlfn.MINIFS('Registro entrevistas'!$J$30:$J$229,'Registro entrevistas'!$F$30:$F$229,B58,'Registro entrevistas'!$I$30:$I$229,"Sí"))))</f>
        <v/>
      </c>
      <c r="F58" s="12" t="n"/>
      <c r="G58" s="12" t="inlineStr">
        <is>
          <t>Sí</t>
        </is>
      </c>
    </row>
    <row r="59" ht="62" customHeight="1">
      <c r="A59" s="12" t="inlineStr">
        <is>
          <t>ISO 27001:2022</t>
        </is>
      </c>
      <c r="B59" s="12" t="inlineStr">
        <is>
          <t>7.13</t>
        </is>
      </c>
      <c r="C59" s="12" t="inlineStr">
        <is>
          <t>Mantenimiento de equipos. Qué debe levantar: Los mantenimientos están programados y registrados.</t>
        </is>
      </c>
      <c r="D59" s="12" t="inlineStr">
        <is>
          <t>7. Controles Físicos</t>
        </is>
      </c>
      <c r="E59" s="35">
        <f>IF(COUNTIF('Registro entrevistas'!$F$30:$F$229,B59)=0,"",IF(COUNTIFS('Registro entrevistas'!$F$30:$F$229,B59,'Registro entrevistas'!$I$30:$I$229,"Sí")=0,IF(_xlfn.MINIFS('Registro entrevistas'!$J$30:$J$229,'Registro entrevistas'!$F$30:$F$229,B59)=0,"",MIN(3,_xlfn.MINIFS('Registro entrevistas'!$J$30:$J$229,'Registro entrevistas'!$F$30:$F$229,B59))),IF(_xlfn.MINIFS('Registro entrevistas'!$J$30:$J$229,'Registro entrevistas'!$F$30:$F$229,B59,'Registro entrevistas'!$I$30:$I$229,"Sí")=0,"",_xlfn.MINIFS('Registro entrevistas'!$J$30:$J$229,'Registro entrevistas'!$F$30:$F$229,B59,'Registro entrevistas'!$I$30:$I$229,"Sí"))))</f>
        <v/>
      </c>
      <c r="F59" s="12" t="n"/>
      <c r="G59" s="12" t="inlineStr">
        <is>
          <t>Sí</t>
        </is>
      </c>
    </row>
    <row r="60" ht="62" customHeight="1">
      <c r="A60" s="12" t="inlineStr">
        <is>
          <t>ISO 27001:2022</t>
        </is>
      </c>
      <c r="B60" s="12" t="inlineStr">
        <is>
          <t>7.14</t>
        </is>
      </c>
      <c r="C60" s="12" t="inlineStr">
        <is>
          <t>Eliminación o reutilización segura de equipos. Qué debe levantar: Los equipos y medios se borran o destruyen de forma segura y con certificado.</t>
        </is>
      </c>
      <c r="D60" s="12" t="inlineStr">
        <is>
          <t>7. Controles Físicos</t>
        </is>
      </c>
      <c r="E60" s="35">
        <f>IF(COUNTIF('Registro entrevistas'!$F$30:$F$229,B60)=0,"",IF(COUNTIFS('Registro entrevistas'!$F$30:$F$229,B60,'Registro entrevistas'!$I$30:$I$229,"Sí")=0,IF(_xlfn.MINIFS('Registro entrevistas'!$J$30:$J$229,'Registro entrevistas'!$F$30:$F$229,B60)=0,"",MIN(3,_xlfn.MINIFS('Registro entrevistas'!$J$30:$J$229,'Registro entrevistas'!$F$30:$F$229,B60))),IF(_xlfn.MINIFS('Registro entrevistas'!$J$30:$J$229,'Registro entrevistas'!$F$30:$F$229,B60,'Registro entrevistas'!$I$30:$I$229,"Sí")=0,"",_xlfn.MINIFS('Registro entrevistas'!$J$30:$J$229,'Registro entrevistas'!$F$30:$F$229,B60,'Registro entrevistas'!$I$30:$I$229,"Sí"))))</f>
        <v/>
      </c>
      <c r="F60" s="12" t="n"/>
      <c r="G60" s="12" t="inlineStr">
        <is>
          <t>Sí</t>
        </is>
      </c>
    </row>
    <row r="61" ht="62" customHeight="1">
      <c r="A61" s="12" t="inlineStr">
        <is>
          <t>ISO 27001:2022</t>
        </is>
      </c>
      <c r="B61" s="12" t="inlineStr">
        <is>
          <t>8.1</t>
        </is>
      </c>
      <c r="C61" s="12" t="inlineStr">
        <is>
          <t>Dispositivos de usuario final. Qué debe levantar: Los equipos de usuario tienen configuración, cifrado y protección mínima definida.</t>
        </is>
      </c>
      <c r="D61" s="12" t="inlineStr">
        <is>
          <t>8. Controles Tecnológicos</t>
        </is>
      </c>
      <c r="E61" s="35">
        <f>IF(COUNTIF('Registro entrevistas'!$F$30:$F$229,B61)=0,"",IF(COUNTIFS('Registro entrevistas'!$F$30:$F$229,B61,'Registro entrevistas'!$I$30:$I$229,"Sí")=0,IF(_xlfn.MINIFS('Registro entrevistas'!$J$30:$J$229,'Registro entrevistas'!$F$30:$F$229,B61)=0,"",MIN(3,_xlfn.MINIFS('Registro entrevistas'!$J$30:$J$229,'Registro entrevistas'!$F$30:$F$229,B61))),IF(_xlfn.MINIFS('Registro entrevistas'!$J$30:$J$229,'Registro entrevistas'!$F$30:$F$229,B61,'Registro entrevistas'!$I$30:$I$229,"Sí")=0,"",_xlfn.MINIFS('Registro entrevistas'!$J$30:$J$229,'Registro entrevistas'!$F$30:$F$229,B61,'Registro entrevistas'!$I$30:$I$229,"Sí"))))</f>
        <v/>
      </c>
      <c r="F61" s="12" t="n"/>
      <c r="G61" s="12" t="inlineStr">
        <is>
          <t>Sí</t>
        </is>
      </c>
    </row>
    <row r="62" ht="62" customHeight="1">
      <c r="A62" s="12" t="inlineStr">
        <is>
          <t>ISO 27001:2022</t>
        </is>
      </c>
      <c r="B62" s="12" t="inlineStr">
        <is>
          <t>8.2</t>
        </is>
      </c>
      <c r="C62" s="12" t="inlineStr">
        <is>
          <t>Derechos de acceso privilegiado. Qué debe levantar: Las cuentas administrativas están controladas, con registro y revisión.</t>
        </is>
      </c>
      <c r="D62" s="12" t="inlineStr">
        <is>
          <t>8. Controles Tecnológicos</t>
        </is>
      </c>
      <c r="E62" s="35">
        <f>IF(COUNTIF('Registro entrevistas'!$F$30:$F$229,B62)=0,"",IF(COUNTIFS('Registro entrevistas'!$F$30:$F$229,B62,'Registro entrevistas'!$I$30:$I$229,"Sí")=0,IF(_xlfn.MINIFS('Registro entrevistas'!$J$30:$J$229,'Registro entrevistas'!$F$30:$F$229,B62)=0,"",MIN(3,_xlfn.MINIFS('Registro entrevistas'!$J$30:$J$229,'Registro entrevistas'!$F$30:$F$229,B62))),IF(_xlfn.MINIFS('Registro entrevistas'!$J$30:$J$229,'Registro entrevistas'!$F$30:$F$229,B62,'Registro entrevistas'!$I$30:$I$229,"Sí")=0,"",_xlfn.MINIFS('Registro entrevistas'!$J$30:$J$229,'Registro entrevistas'!$F$30:$F$229,B62,'Registro entrevistas'!$I$30:$I$229,"Sí"))))</f>
        <v/>
      </c>
      <c r="F62" s="12" t="n"/>
      <c r="G62" s="12" t="inlineStr">
        <is>
          <t>Sí</t>
        </is>
      </c>
    </row>
    <row r="63" ht="62" customHeight="1">
      <c r="A63" s="12" t="inlineStr">
        <is>
          <t>ISO 27001:2022</t>
        </is>
      </c>
      <c r="B63" s="12" t="inlineStr">
        <is>
          <t>8.3</t>
        </is>
      </c>
      <c r="C63" s="12" t="inlineStr">
        <is>
          <t>Restricción de acceso a la información. Qué debe levantar: El acceso a la información se limita según el rol.</t>
        </is>
      </c>
      <c r="D63" s="12" t="inlineStr">
        <is>
          <t>8. Controles Tecnológicos</t>
        </is>
      </c>
      <c r="E63" s="35">
        <f>IF(COUNTIF('Registro entrevistas'!$F$30:$F$229,B63)=0,"",IF(COUNTIFS('Registro entrevistas'!$F$30:$F$229,B63,'Registro entrevistas'!$I$30:$I$229,"Sí")=0,IF(_xlfn.MINIFS('Registro entrevistas'!$J$30:$J$229,'Registro entrevistas'!$F$30:$F$229,B63)=0,"",MIN(3,_xlfn.MINIFS('Registro entrevistas'!$J$30:$J$229,'Registro entrevistas'!$F$30:$F$229,B63))),IF(_xlfn.MINIFS('Registro entrevistas'!$J$30:$J$229,'Registro entrevistas'!$F$30:$F$229,B63,'Registro entrevistas'!$I$30:$I$229,"Sí")=0,"",_xlfn.MINIFS('Registro entrevistas'!$J$30:$J$229,'Registro entrevistas'!$F$30:$F$229,B63,'Registro entrevistas'!$I$30:$I$229,"Sí"))))</f>
        <v/>
      </c>
      <c r="F63" s="12" t="n"/>
      <c r="G63" s="12" t="inlineStr">
        <is>
          <t>Sí</t>
        </is>
      </c>
    </row>
    <row r="64" ht="62" customHeight="1">
      <c r="A64" s="12" t="inlineStr">
        <is>
          <t>ISO 27001:2022</t>
        </is>
      </c>
      <c r="B64" s="12" t="inlineStr">
        <is>
          <t>8.4</t>
        </is>
      </c>
      <c r="C64" s="12" t="inlineStr">
        <is>
          <t>Acceso al código fuente. Qué debe levantar: El código fuente tiene acceso restringido y control de versiones.</t>
        </is>
      </c>
      <c r="D64" s="12" t="inlineStr">
        <is>
          <t>8. Controles Tecnológicos</t>
        </is>
      </c>
      <c r="E64" s="35">
        <f>IF(COUNTIF('Registro entrevistas'!$F$30:$F$229,B64)=0,"",IF(COUNTIFS('Registro entrevistas'!$F$30:$F$229,B64,'Registro entrevistas'!$I$30:$I$229,"Sí")=0,IF(_xlfn.MINIFS('Registro entrevistas'!$J$30:$J$229,'Registro entrevistas'!$F$30:$F$229,B64)=0,"",MIN(3,_xlfn.MINIFS('Registro entrevistas'!$J$30:$J$229,'Registro entrevistas'!$F$30:$F$229,B64))),IF(_xlfn.MINIFS('Registro entrevistas'!$J$30:$J$229,'Registro entrevistas'!$F$30:$F$229,B64,'Registro entrevistas'!$I$30:$I$229,"Sí")=0,"",_xlfn.MINIFS('Registro entrevistas'!$J$30:$J$229,'Registro entrevistas'!$F$30:$F$229,B64,'Registro entrevistas'!$I$30:$I$229,"Sí"))))</f>
        <v/>
      </c>
      <c r="F64" s="12" t="n"/>
      <c r="G64" s="12" t="inlineStr">
        <is>
          <t>Sí</t>
        </is>
      </c>
    </row>
    <row r="65" ht="62" customHeight="1">
      <c r="A65" s="12" t="inlineStr">
        <is>
          <t>ISO 27001:2022</t>
        </is>
      </c>
      <c r="B65" s="12" t="inlineStr">
        <is>
          <t>8.5</t>
        </is>
      </c>
      <c r="C65" s="12" t="inlineStr">
        <is>
          <t>Autenticación segura. Qué debe levantar: Los sistemas con datos personales exigen autenticación robusta (MFA y contraseñas seguras).</t>
        </is>
      </c>
      <c r="D65" s="12" t="inlineStr">
        <is>
          <t>8. Controles Tecnológicos</t>
        </is>
      </c>
      <c r="E65" s="35">
        <f>IF(COUNTIF('Registro entrevistas'!$F$30:$F$229,B65)=0,"",IF(COUNTIFS('Registro entrevistas'!$F$30:$F$229,B65,'Registro entrevistas'!$I$30:$I$229,"Sí")=0,IF(_xlfn.MINIFS('Registro entrevistas'!$J$30:$J$229,'Registro entrevistas'!$F$30:$F$229,B65)=0,"",MIN(3,_xlfn.MINIFS('Registro entrevistas'!$J$30:$J$229,'Registro entrevistas'!$F$30:$F$229,B65))),IF(_xlfn.MINIFS('Registro entrevistas'!$J$30:$J$229,'Registro entrevistas'!$F$30:$F$229,B65,'Registro entrevistas'!$I$30:$I$229,"Sí")=0,"",_xlfn.MINIFS('Registro entrevistas'!$J$30:$J$229,'Registro entrevistas'!$F$30:$F$229,B65,'Registro entrevistas'!$I$30:$I$229,"Sí"))))</f>
        <v/>
      </c>
      <c r="F65" s="12" t="n"/>
      <c r="G65" s="12" t="inlineStr">
        <is>
          <t>Sí</t>
        </is>
      </c>
    </row>
    <row r="66" ht="62" customHeight="1">
      <c r="A66" s="12" t="inlineStr">
        <is>
          <t>ISO 27001:2022</t>
        </is>
      </c>
      <c r="B66" s="12" t="inlineStr">
        <is>
          <t>8.6</t>
        </is>
      </c>
      <c r="C66" s="12" t="inlineStr">
        <is>
          <t>Gestión de capacidad. Qué debe levantar: La capacidad de servidores y servicios se monitorea.</t>
        </is>
      </c>
      <c r="D66" s="12" t="inlineStr">
        <is>
          <t>8. Controles Tecnológicos</t>
        </is>
      </c>
      <c r="E66" s="35">
        <f>IF(COUNTIF('Registro entrevistas'!$F$30:$F$229,B66)=0,"",IF(COUNTIFS('Registro entrevistas'!$F$30:$F$229,B66,'Registro entrevistas'!$I$30:$I$229,"Sí")=0,IF(_xlfn.MINIFS('Registro entrevistas'!$J$30:$J$229,'Registro entrevistas'!$F$30:$F$229,B66)=0,"",MIN(3,_xlfn.MINIFS('Registro entrevistas'!$J$30:$J$229,'Registro entrevistas'!$F$30:$F$229,B66))),IF(_xlfn.MINIFS('Registro entrevistas'!$J$30:$J$229,'Registro entrevistas'!$F$30:$F$229,B66,'Registro entrevistas'!$I$30:$I$229,"Sí")=0,"",_xlfn.MINIFS('Registro entrevistas'!$J$30:$J$229,'Registro entrevistas'!$F$30:$F$229,B66,'Registro entrevistas'!$I$30:$I$229,"Sí"))))</f>
        <v/>
      </c>
      <c r="F66" s="12" t="n"/>
      <c r="G66" s="12" t="inlineStr">
        <is>
          <t>Sí</t>
        </is>
      </c>
    </row>
    <row r="67" ht="62" customHeight="1">
      <c r="A67" s="12" t="inlineStr">
        <is>
          <t>ISO 27001:2022</t>
        </is>
      </c>
      <c r="B67" s="12" t="inlineStr">
        <is>
          <t>8.7</t>
        </is>
      </c>
      <c r="C67" s="12" t="inlineStr">
        <is>
          <t>Protección contra malware. Qué debe levantar: Existe antivirus o EDR activo y actualizado en todos los equipos.</t>
        </is>
      </c>
      <c r="D67" s="12" t="inlineStr">
        <is>
          <t>8. Controles Tecnológicos</t>
        </is>
      </c>
      <c r="E67" s="35">
        <f>IF(COUNTIF('Registro entrevistas'!$F$30:$F$229,B67)=0,"",IF(COUNTIFS('Registro entrevistas'!$F$30:$F$229,B67,'Registro entrevistas'!$I$30:$I$229,"Sí")=0,IF(_xlfn.MINIFS('Registro entrevistas'!$J$30:$J$229,'Registro entrevistas'!$F$30:$F$229,B67)=0,"",MIN(3,_xlfn.MINIFS('Registro entrevistas'!$J$30:$J$229,'Registro entrevistas'!$F$30:$F$229,B67))),IF(_xlfn.MINIFS('Registro entrevistas'!$J$30:$J$229,'Registro entrevistas'!$F$30:$F$229,B67,'Registro entrevistas'!$I$30:$I$229,"Sí")=0,"",_xlfn.MINIFS('Registro entrevistas'!$J$30:$J$229,'Registro entrevistas'!$F$30:$F$229,B67,'Registro entrevistas'!$I$30:$I$229,"Sí"))))</f>
        <v/>
      </c>
      <c r="F67" s="12" t="n"/>
      <c r="G67" s="12" t="inlineStr">
        <is>
          <t>Sí</t>
        </is>
      </c>
    </row>
    <row r="68" ht="62" customHeight="1">
      <c r="A68" s="12" t="inlineStr">
        <is>
          <t>ISO 27001:2022</t>
        </is>
      </c>
      <c r="B68" s="12" t="inlineStr">
        <is>
          <t>8.8</t>
        </is>
      </c>
      <c r="C68" s="12" t="inlineStr">
        <is>
          <t>Gestión de vulnerabilidades técnicas. Qué debe levantar: Existen escaneos de vulnerabilidades y parches con plazos definidos.</t>
        </is>
      </c>
      <c r="D68" s="12" t="inlineStr">
        <is>
          <t>8. Controles Tecnológicos</t>
        </is>
      </c>
      <c r="E68" s="35">
        <f>IF(COUNTIF('Registro entrevistas'!$F$30:$F$229,B68)=0,"",IF(COUNTIFS('Registro entrevistas'!$F$30:$F$229,B68,'Registro entrevistas'!$I$30:$I$229,"Sí")=0,IF(_xlfn.MINIFS('Registro entrevistas'!$J$30:$J$229,'Registro entrevistas'!$F$30:$F$229,B68)=0,"",MIN(3,_xlfn.MINIFS('Registro entrevistas'!$J$30:$J$229,'Registro entrevistas'!$F$30:$F$229,B68))),IF(_xlfn.MINIFS('Registro entrevistas'!$J$30:$J$229,'Registro entrevistas'!$F$30:$F$229,B68,'Registro entrevistas'!$I$30:$I$229,"Sí")=0,"",_xlfn.MINIFS('Registro entrevistas'!$J$30:$J$229,'Registro entrevistas'!$F$30:$F$229,B68,'Registro entrevistas'!$I$30:$I$229,"Sí"))))</f>
        <v/>
      </c>
      <c r="F68" s="12" t="n"/>
      <c r="G68" s="12" t="inlineStr">
        <is>
          <t>Sí</t>
        </is>
      </c>
    </row>
    <row r="69" ht="62" customHeight="1">
      <c r="A69" s="12" t="inlineStr">
        <is>
          <t>ISO 27001:2022</t>
        </is>
      </c>
      <c r="B69" s="12" t="inlineStr">
        <is>
          <t>8.9</t>
        </is>
      </c>
      <c r="C69" s="12" t="inlineStr">
        <is>
          <t>Gestión de la configuración. Qué debe levantar: Existen configuraciones base (hardening) definidas y controladas.</t>
        </is>
      </c>
      <c r="D69" s="12" t="inlineStr">
        <is>
          <t>8. Controles Tecnológicos</t>
        </is>
      </c>
      <c r="E69" s="35">
        <f>IF(COUNTIF('Registro entrevistas'!$F$30:$F$229,B69)=0,"",IF(COUNTIFS('Registro entrevistas'!$F$30:$F$229,B69,'Registro entrevistas'!$I$30:$I$229,"Sí")=0,IF(_xlfn.MINIFS('Registro entrevistas'!$J$30:$J$229,'Registro entrevistas'!$F$30:$F$229,B69)=0,"",MIN(3,_xlfn.MINIFS('Registro entrevistas'!$J$30:$J$229,'Registro entrevistas'!$F$30:$F$229,B69))),IF(_xlfn.MINIFS('Registro entrevistas'!$J$30:$J$229,'Registro entrevistas'!$F$30:$F$229,B69,'Registro entrevistas'!$I$30:$I$229,"Sí")=0,"",_xlfn.MINIFS('Registro entrevistas'!$J$30:$J$229,'Registro entrevistas'!$F$30:$F$229,B69,'Registro entrevistas'!$I$30:$I$229,"Sí"))))</f>
        <v/>
      </c>
      <c r="F69" s="12" t="n"/>
      <c r="G69" s="12" t="inlineStr">
        <is>
          <t>Sí</t>
        </is>
      </c>
    </row>
    <row r="70" ht="62" customHeight="1">
      <c r="A70" s="12" t="inlineStr">
        <is>
          <t>ISO 27001:2022</t>
        </is>
      </c>
      <c r="B70" s="12" t="inlineStr">
        <is>
          <t>8.10</t>
        </is>
      </c>
      <c r="C70" s="12" t="inlineStr">
        <is>
          <t>Eliminación de información. Qué debe levantar: Los datos se eliminan al cumplir su plazo, con evidencia de la eliminación.</t>
        </is>
      </c>
      <c r="D70" s="12" t="inlineStr">
        <is>
          <t>8. Controles Tecnológicos</t>
        </is>
      </c>
      <c r="E70" s="35">
        <f>IF(COUNTIF('Registro entrevistas'!$F$30:$F$229,B70)=0,"",IF(COUNTIFS('Registro entrevistas'!$F$30:$F$229,B70,'Registro entrevistas'!$I$30:$I$229,"Sí")=0,IF(_xlfn.MINIFS('Registro entrevistas'!$J$30:$J$229,'Registro entrevistas'!$F$30:$F$229,B70)=0,"",MIN(3,_xlfn.MINIFS('Registro entrevistas'!$J$30:$J$229,'Registro entrevistas'!$F$30:$F$229,B70))),IF(_xlfn.MINIFS('Registro entrevistas'!$J$30:$J$229,'Registro entrevistas'!$F$30:$F$229,B70,'Registro entrevistas'!$I$30:$I$229,"Sí")=0,"",_xlfn.MINIFS('Registro entrevistas'!$J$30:$J$229,'Registro entrevistas'!$F$30:$F$229,B70,'Registro entrevistas'!$I$30:$I$229,"Sí"))))</f>
        <v/>
      </c>
      <c r="F70" s="12" t="n"/>
      <c r="G70" s="12" t="inlineStr">
        <is>
          <t>Sí</t>
        </is>
      </c>
    </row>
    <row r="71" ht="62" customHeight="1">
      <c r="A71" s="12" t="inlineStr">
        <is>
          <t>ISO 27001:2022</t>
        </is>
      </c>
      <c r="B71" s="12" t="inlineStr">
        <is>
          <t>8.11</t>
        </is>
      </c>
      <c r="C71" s="12" t="inlineStr">
        <is>
          <t>Enmascaramiento de datos. Qué debe levantar: Los datos personales se enmascaran en pruebas, reportes o entornos no productivos.</t>
        </is>
      </c>
      <c r="D71" s="12" t="inlineStr">
        <is>
          <t>8. Controles Tecnológicos</t>
        </is>
      </c>
      <c r="E71" s="35">
        <f>IF(COUNTIF('Registro entrevistas'!$F$30:$F$229,B71)=0,"",IF(COUNTIFS('Registro entrevistas'!$F$30:$F$229,B71,'Registro entrevistas'!$I$30:$I$229,"Sí")=0,IF(_xlfn.MINIFS('Registro entrevistas'!$J$30:$J$229,'Registro entrevistas'!$F$30:$F$229,B71)=0,"",MIN(3,_xlfn.MINIFS('Registro entrevistas'!$J$30:$J$229,'Registro entrevistas'!$F$30:$F$229,B71))),IF(_xlfn.MINIFS('Registro entrevistas'!$J$30:$J$229,'Registro entrevistas'!$F$30:$F$229,B71,'Registro entrevistas'!$I$30:$I$229,"Sí")=0,"",_xlfn.MINIFS('Registro entrevistas'!$J$30:$J$229,'Registro entrevistas'!$F$30:$F$229,B71,'Registro entrevistas'!$I$30:$I$229,"Sí"))))</f>
        <v/>
      </c>
      <c r="F71" s="12" t="n"/>
      <c r="G71" s="12" t="inlineStr">
        <is>
          <t>Sí</t>
        </is>
      </c>
    </row>
    <row r="72" ht="62" customHeight="1">
      <c r="A72" s="12" t="inlineStr">
        <is>
          <t>ISO 27001:2022</t>
        </is>
      </c>
      <c r="B72" s="12" t="inlineStr">
        <is>
          <t>8.12</t>
        </is>
      </c>
      <c r="C72" s="12" t="inlineStr">
        <is>
          <t>Prevención de fuga de datos. Qué debe levantar: Existen controles para evitar envíos o copias no autorizadas de datos.</t>
        </is>
      </c>
      <c r="D72" s="12" t="inlineStr">
        <is>
          <t>8. Controles Tecnológicos</t>
        </is>
      </c>
      <c r="E72" s="35">
        <f>IF(COUNTIF('Registro entrevistas'!$F$30:$F$229,B72)=0,"",IF(COUNTIFS('Registro entrevistas'!$F$30:$F$229,B72,'Registro entrevistas'!$I$30:$I$229,"Sí")=0,IF(_xlfn.MINIFS('Registro entrevistas'!$J$30:$J$229,'Registro entrevistas'!$F$30:$F$229,B72)=0,"",MIN(3,_xlfn.MINIFS('Registro entrevistas'!$J$30:$J$229,'Registro entrevistas'!$F$30:$F$229,B72))),IF(_xlfn.MINIFS('Registro entrevistas'!$J$30:$J$229,'Registro entrevistas'!$F$30:$F$229,B72,'Registro entrevistas'!$I$30:$I$229,"Sí")=0,"",_xlfn.MINIFS('Registro entrevistas'!$J$30:$J$229,'Registro entrevistas'!$F$30:$F$229,B72,'Registro entrevistas'!$I$30:$I$229,"Sí"))))</f>
        <v/>
      </c>
      <c r="F72" s="12" t="n"/>
      <c r="G72" s="12" t="inlineStr">
        <is>
          <t>Sí</t>
        </is>
      </c>
    </row>
    <row r="73" ht="62" customHeight="1">
      <c r="A73" s="12" t="inlineStr">
        <is>
          <t>ISO 27001:2022</t>
        </is>
      </c>
      <c r="B73" s="12" t="inlineStr">
        <is>
          <t>8.13</t>
        </is>
      </c>
      <c r="C73" s="12" t="inlineStr">
        <is>
          <t>Respaldo de información. Qué debe levantar: Existen respaldos periódicos, cifrados y con prueba de restauración.</t>
        </is>
      </c>
      <c r="D73" s="12" t="inlineStr">
        <is>
          <t>8. Controles Tecnológicos</t>
        </is>
      </c>
      <c r="E73" s="35">
        <f>IF(COUNTIF('Registro entrevistas'!$F$30:$F$229,B73)=0,"",IF(COUNTIFS('Registro entrevistas'!$F$30:$F$229,B73,'Registro entrevistas'!$I$30:$I$229,"Sí")=0,IF(_xlfn.MINIFS('Registro entrevistas'!$J$30:$J$229,'Registro entrevistas'!$F$30:$F$229,B73)=0,"",MIN(3,_xlfn.MINIFS('Registro entrevistas'!$J$30:$J$229,'Registro entrevistas'!$F$30:$F$229,B73))),IF(_xlfn.MINIFS('Registro entrevistas'!$J$30:$J$229,'Registro entrevistas'!$F$30:$F$229,B73,'Registro entrevistas'!$I$30:$I$229,"Sí")=0,"",_xlfn.MINIFS('Registro entrevistas'!$J$30:$J$229,'Registro entrevistas'!$F$30:$F$229,B73,'Registro entrevistas'!$I$30:$I$229,"Sí"))))</f>
        <v/>
      </c>
      <c r="F73" s="12" t="n"/>
      <c r="G73" s="12" t="inlineStr">
        <is>
          <t>Sí</t>
        </is>
      </c>
    </row>
    <row r="74" ht="62" customHeight="1">
      <c r="A74" s="12" t="inlineStr">
        <is>
          <t>ISO 27001:2022</t>
        </is>
      </c>
      <c r="B74" s="12" t="inlineStr">
        <is>
          <t>8.14</t>
        </is>
      </c>
      <c r="C74" s="12" t="inlineStr">
        <is>
          <t>Redundancia de instalaciones de procesamiento. Qué debe levantar: Los sistemas críticos tienen redundancia de infraestructura.</t>
        </is>
      </c>
      <c r="D74" s="12" t="inlineStr">
        <is>
          <t>8. Controles Tecnológicos</t>
        </is>
      </c>
      <c r="E74" s="35">
        <f>IF(COUNTIF('Registro entrevistas'!$F$30:$F$229,B74)=0,"",IF(COUNTIFS('Registro entrevistas'!$F$30:$F$229,B74,'Registro entrevistas'!$I$30:$I$229,"Sí")=0,IF(_xlfn.MINIFS('Registro entrevistas'!$J$30:$J$229,'Registro entrevistas'!$F$30:$F$229,B74)=0,"",MIN(3,_xlfn.MINIFS('Registro entrevistas'!$J$30:$J$229,'Registro entrevistas'!$F$30:$F$229,B74))),IF(_xlfn.MINIFS('Registro entrevistas'!$J$30:$J$229,'Registro entrevistas'!$F$30:$F$229,B74,'Registro entrevistas'!$I$30:$I$229,"Sí")=0,"",_xlfn.MINIFS('Registro entrevistas'!$J$30:$J$229,'Registro entrevistas'!$F$30:$F$229,B74,'Registro entrevistas'!$I$30:$I$229,"Sí"))))</f>
        <v/>
      </c>
      <c r="F74" s="12" t="n"/>
      <c r="G74" s="12" t="inlineStr">
        <is>
          <t>Sí</t>
        </is>
      </c>
    </row>
    <row r="75" ht="62" customHeight="1">
      <c r="A75" s="12" t="inlineStr">
        <is>
          <t>ISO 27001:2022</t>
        </is>
      </c>
      <c r="B75" s="12" t="inlineStr">
        <is>
          <t>8.15</t>
        </is>
      </c>
      <c r="C75" s="12" t="inlineStr">
        <is>
          <t>Registro de actividades (logging). Qué debe levantar: Se registran accesos y acciones sobre datos, con logs protegidos y retención definida.</t>
        </is>
      </c>
      <c r="D75" s="12" t="inlineStr">
        <is>
          <t>8. Controles Tecnológicos</t>
        </is>
      </c>
      <c r="E75" s="35">
        <f>IF(COUNTIF('Registro entrevistas'!$F$30:$F$229,B75)=0,"",IF(COUNTIFS('Registro entrevistas'!$F$30:$F$229,B75,'Registro entrevistas'!$I$30:$I$229,"Sí")=0,IF(_xlfn.MINIFS('Registro entrevistas'!$J$30:$J$229,'Registro entrevistas'!$F$30:$F$229,B75)=0,"",MIN(3,_xlfn.MINIFS('Registro entrevistas'!$J$30:$J$229,'Registro entrevistas'!$F$30:$F$229,B75))),IF(_xlfn.MINIFS('Registro entrevistas'!$J$30:$J$229,'Registro entrevistas'!$F$30:$F$229,B75,'Registro entrevistas'!$I$30:$I$229,"Sí")=0,"",_xlfn.MINIFS('Registro entrevistas'!$J$30:$J$229,'Registro entrevistas'!$F$30:$F$229,B75,'Registro entrevistas'!$I$30:$I$229,"Sí"))))</f>
        <v/>
      </c>
      <c r="F75" s="12" t="n"/>
      <c r="G75" s="12" t="inlineStr">
        <is>
          <t>Sí</t>
        </is>
      </c>
    </row>
    <row r="76" ht="62" customHeight="1">
      <c r="A76" s="12" t="inlineStr">
        <is>
          <t>ISO 27001:2022</t>
        </is>
      </c>
      <c r="B76" s="12" t="inlineStr">
        <is>
          <t>8.16</t>
        </is>
      </c>
      <c r="C76" s="12" t="inlineStr">
        <is>
          <t>Actividades de monitoreo. Qué debe levantar: Existen alertas y revisión periódica de logs.</t>
        </is>
      </c>
      <c r="D76" s="12" t="inlineStr">
        <is>
          <t>8. Controles Tecnológicos</t>
        </is>
      </c>
      <c r="E76" s="35">
        <f>IF(COUNTIF('Registro entrevistas'!$F$30:$F$229,B76)=0,"",IF(COUNTIFS('Registro entrevistas'!$F$30:$F$229,B76,'Registro entrevistas'!$I$30:$I$229,"Sí")=0,IF(_xlfn.MINIFS('Registro entrevistas'!$J$30:$J$229,'Registro entrevistas'!$F$30:$F$229,B76)=0,"",MIN(3,_xlfn.MINIFS('Registro entrevistas'!$J$30:$J$229,'Registro entrevistas'!$F$30:$F$229,B76))),IF(_xlfn.MINIFS('Registro entrevistas'!$J$30:$J$229,'Registro entrevistas'!$F$30:$F$229,B76,'Registro entrevistas'!$I$30:$I$229,"Sí")=0,"",_xlfn.MINIFS('Registro entrevistas'!$J$30:$J$229,'Registro entrevistas'!$F$30:$F$229,B76,'Registro entrevistas'!$I$30:$I$229,"Sí"))))</f>
        <v/>
      </c>
      <c r="F76" s="12" t="n"/>
      <c r="G76" s="12" t="inlineStr">
        <is>
          <t>Sí</t>
        </is>
      </c>
    </row>
    <row r="77" ht="62" customHeight="1">
      <c r="A77" s="12" t="inlineStr">
        <is>
          <t>ISO 27001:2022</t>
        </is>
      </c>
      <c r="B77" s="12" t="inlineStr">
        <is>
          <t>8.17</t>
        </is>
      </c>
      <c r="C77" s="12" t="inlineStr">
        <is>
          <t>Sincronización de relojes. Qué debe levantar: Los relojes de los sistemas están sincronizados.</t>
        </is>
      </c>
      <c r="D77" s="12" t="inlineStr">
        <is>
          <t>8. Controles Tecnológicos</t>
        </is>
      </c>
      <c r="E77" s="35">
        <f>IF(COUNTIF('Registro entrevistas'!$F$30:$F$229,B77)=0,"",IF(COUNTIFS('Registro entrevistas'!$F$30:$F$229,B77,'Registro entrevistas'!$I$30:$I$229,"Sí")=0,IF(_xlfn.MINIFS('Registro entrevistas'!$J$30:$J$229,'Registro entrevistas'!$F$30:$F$229,B77)=0,"",MIN(3,_xlfn.MINIFS('Registro entrevistas'!$J$30:$J$229,'Registro entrevistas'!$F$30:$F$229,B77))),IF(_xlfn.MINIFS('Registro entrevistas'!$J$30:$J$229,'Registro entrevistas'!$F$30:$F$229,B77,'Registro entrevistas'!$I$30:$I$229,"Sí")=0,"",_xlfn.MINIFS('Registro entrevistas'!$J$30:$J$229,'Registro entrevistas'!$F$30:$F$229,B77,'Registro entrevistas'!$I$30:$I$229,"Sí"))))</f>
        <v/>
      </c>
      <c r="F77" s="12" t="n"/>
      <c r="G77" s="12" t="inlineStr">
        <is>
          <t>Sí</t>
        </is>
      </c>
    </row>
    <row r="78" ht="62" customHeight="1">
      <c r="A78" s="12" t="inlineStr">
        <is>
          <t>ISO 27001:2022</t>
        </is>
      </c>
      <c r="B78" s="12" t="inlineStr">
        <is>
          <t>8.18</t>
        </is>
      </c>
      <c r="C78" s="12" t="inlineStr">
        <is>
          <t>Uso de programas de utilidad con privilegios. Qué debe levantar: Las herramientas de administración con privilegios están restringidas.</t>
        </is>
      </c>
      <c r="D78" s="12" t="inlineStr">
        <is>
          <t>8. Controles Tecnológicos</t>
        </is>
      </c>
      <c r="E78" s="35">
        <f>IF(COUNTIF('Registro entrevistas'!$F$30:$F$229,B78)=0,"",IF(COUNTIFS('Registro entrevistas'!$F$30:$F$229,B78,'Registro entrevistas'!$I$30:$I$229,"Sí")=0,IF(_xlfn.MINIFS('Registro entrevistas'!$J$30:$J$229,'Registro entrevistas'!$F$30:$F$229,B78)=0,"",MIN(3,_xlfn.MINIFS('Registro entrevistas'!$J$30:$J$229,'Registro entrevistas'!$F$30:$F$229,B78))),IF(_xlfn.MINIFS('Registro entrevistas'!$J$30:$J$229,'Registro entrevistas'!$F$30:$F$229,B78,'Registro entrevistas'!$I$30:$I$229,"Sí")=0,"",_xlfn.MINIFS('Registro entrevistas'!$J$30:$J$229,'Registro entrevistas'!$F$30:$F$229,B78,'Registro entrevistas'!$I$30:$I$229,"Sí"))))</f>
        <v/>
      </c>
      <c r="F78" s="12" t="n"/>
      <c r="G78" s="12" t="inlineStr">
        <is>
          <t>Sí</t>
        </is>
      </c>
    </row>
    <row r="79" ht="62" customHeight="1">
      <c r="A79" s="12" t="inlineStr">
        <is>
          <t>ISO 27001:2022</t>
        </is>
      </c>
      <c r="B79" s="12" t="inlineStr">
        <is>
          <t>8.19</t>
        </is>
      </c>
      <c r="C79" s="12" t="inlineStr">
        <is>
          <t>Instalación de software en sistemas operativos. Qué debe levantar: Solo se instala software autorizado.</t>
        </is>
      </c>
      <c r="D79" s="12" t="inlineStr">
        <is>
          <t>8. Controles Tecnológicos</t>
        </is>
      </c>
      <c r="E79" s="35">
        <f>IF(COUNTIF('Registro entrevistas'!$F$30:$F$229,B79)=0,"",IF(COUNTIFS('Registro entrevistas'!$F$30:$F$229,B79,'Registro entrevistas'!$I$30:$I$229,"Sí")=0,IF(_xlfn.MINIFS('Registro entrevistas'!$J$30:$J$229,'Registro entrevistas'!$F$30:$F$229,B79)=0,"",MIN(3,_xlfn.MINIFS('Registro entrevistas'!$J$30:$J$229,'Registro entrevistas'!$F$30:$F$229,B79))),IF(_xlfn.MINIFS('Registro entrevistas'!$J$30:$J$229,'Registro entrevistas'!$F$30:$F$229,B79,'Registro entrevistas'!$I$30:$I$229,"Sí")=0,"",_xlfn.MINIFS('Registro entrevistas'!$J$30:$J$229,'Registro entrevistas'!$F$30:$F$229,B79,'Registro entrevistas'!$I$30:$I$229,"Sí"))))</f>
        <v/>
      </c>
      <c r="F79" s="12" t="n"/>
      <c r="G79" s="12" t="inlineStr">
        <is>
          <t>Sí</t>
        </is>
      </c>
    </row>
    <row r="80" ht="62" customHeight="1">
      <c r="A80" s="12" t="inlineStr">
        <is>
          <t>ISO 27001:2022</t>
        </is>
      </c>
      <c r="B80" s="12" t="inlineStr">
        <is>
          <t>8.20</t>
        </is>
      </c>
      <c r="C80" s="12" t="inlineStr">
        <is>
          <t>Seguridad en redes. Qué debe levantar: Las redes están protegidas con firewalls y reglas definidas.</t>
        </is>
      </c>
      <c r="D80" s="12" t="inlineStr">
        <is>
          <t>8. Controles Tecnológicos</t>
        </is>
      </c>
      <c r="E80" s="35">
        <f>IF(COUNTIF('Registro entrevistas'!$F$30:$F$229,B80)=0,"",IF(COUNTIFS('Registro entrevistas'!$F$30:$F$229,B80,'Registro entrevistas'!$I$30:$I$229,"Sí")=0,IF(_xlfn.MINIFS('Registro entrevistas'!$J$30:$J$229,'Registro entrevistas'!$F$30:$F$229,B80)=0,"",MIN(3,_xlfn.MINIFS('Registro entrevistas'!$J$30:$J$229,'Registro entrevistas'!$F$30:$F$229,B80))),IF(_xlfn.MINIFS('Registro entrevistas'!$J$30:$J$229,'Registro entrevistas'!$F$30:$F$229,B80,'Registro entrevistas'!$I$30:$I$229,"Sí")=0,"",_xlfn.MINIFS('Registro entrevistas'!$J$30:$J$229,'Registro entrevistas'!$F$30:$F$229,B80,'Registro entrevistas'!$I$30:$I$229,"Sí"))))</f>
        <v/>
      </c>
      <c r="F80" s="12" t="n"/>
      <c r="G80" s="12" t="inlineStr">
        <is>
          <t>Sí</t>
        </is>
      </c>
    </row>
    <row r="81" ht="62" customHeight="1">
      <c r="A81" s="12" t="inlineStr">
        <is>
          <t>ISO 27001:2022</t>
        </is>
      </c>
      <c r="B81" s="12" t="inlineStr">
        <is>
          <t>8.21</t>
        </is>
      </c>
      <c r="C81" s="12" t="inlineStr">
        <is>
          <t>Seguridad de los servicios de red. Qué debe levantar: Los servicios de red (VPN, DNS, otros) están asegurados y acordados.</t>
        </is>
      </c>
      <c r="D81" s="12" t="inlineStr">
        <is>
          <t>8. Controles Tecnológicos</t>
        </is>
      </c>
      <c r="E81" s="35">
        <f>IF(COUNTIF('Registro entrevistas'!$F$30:$F$229,B81)=0,"",IF(COUNTIFS('Registro entrevistas'!$F$30:$F$229,B81,'Registro entrevistas'!$I$30:$I$229,"Sí")=0,IF(_xlfn.MINIFS('Registro entrevistas'!$J$30:$J$229,'Registro entrevistas'!$F$30:$F$229,B81)=0,"",MIN(3,_xlfn.MINIFS('Registro entrevistas'!$J$30:$J$229,'Registro entrevistas'!$F$30:$F$229,B81))),IF(_xlfn.MINIFS('Registro entrevistas'!$J$30:$J$229,'Registro entrevistas'!$F$30:$F$229,B81,'Registro entrevistas'!$I$30:$I$229,"Sí")=0,"",_xlfn.MINIFS('Registro entrevistas'!$J$30:$J$229,'Registro entrevistas'!$F$30:$F$229,B81,'Registro entrevistas'!$I$30:$I$229,"Sí"))))</f>
        <v/>
      </c>
      <c r="F81" s="12" t="n"/>
      <c r="G81" s="12" t="inlineStr">
        <is>
          <t>Sí</t>
        </is>
      </c>
    </row>
    <row r="82" ht="62" customHeight="1">
      <c r="A82" s="12" t="inlineStr">
        <is>
          <t>ISO 27001:2022</t>
        </is>
      </c>
      <c r="B82" s="12" t="inlineStr">
        <is>
          <t>8.22</t>
        </is>
      </c>
      <c r="C82" s="12" t="inlineStr">
        <is>
          <t>Segregación de redes. Qué debe levantar: Las redes están separadas según sensibilidad de la información.</t>
        </is>
      </c>
      <c r="D82" s="12" t="inlineStr">
        <is>
          <t>8. Controles Tecnológicos</t>
        </is>
      </c>
      <c r="E82" s="35">
        <f>IF(COUNTIF('Registro entrevistas'!$F$30:$F$229,B82)=0,"",IF(COUNTIFS('Registro entrevistas'!$F$30:$F$229,B82,'Registro entrevistas'!$I$30:$I$229,"Sí")=0,IF(_xlfn.MINIFS('Registro entrevistas'!$J$30:$J$229,'Registro entrevistas'!$F$30:$F$229,B82)=0,"",MIN(3,_xlfn.MINIFS('Registro entrevistas'!$J$30:$J$229,'Registro entrevistas'!$F$30:$F$229,B82))),IF(_xlfn.MINIFS('Registro entrevistas'!$J$30:$J$229,'Registro entrevistas'!$F$30:$F$229,B82,'Registro entrevistas'!$I$30:$I$229,"Sí")=0,"",_xlfn.MINIFS('Registro entrevistas'!$J$30:$J$229,'Registro entrevistas'!$F$30:$F$229,B82,'Registro entrevistas'!$I$30:$I$229,"Sí"))))</f>
        <v/>
      </c>
      <c r="F82" s="12" t="n"/>
      <c r="G82" s="12" t="inlineStr">
        <is>
          <t>Sí</t>
        </is>
      </c>
    </row>
    <row r="83" ht="62" customHeight="1">
      <c r="A83" s="12" t="inlineStr">
        <is>
          <t>ISO 27001:2022</t>
        </is>
      </c>
      <c r="B83" s="12" t="inlineStr">
        <is>
          <t>8.23</t>
        </is>
      </c>
      <c r="C83" s="12" t="inlineStr">
        <is>
          <t>Filtrado web. Qué debe levantar: La navegación está filtrada contra sitios riesgosos.</t>
        </is>
      </c>
      <c r="D83" s="12" t="inlineStr">
        <is>
          <t>8. Controles Tecnológicos</t>
        </is>
      </c>
      <c r="E83" s="35">
        <f>IF(COUNTIF('Registro entrevistas'!$F$30:$F$229,B83)=0,"",IF(COUNTIFS('Registro entrevistas'!$F$30:$F$229,B83,'Registro entrevistas'!$I$30:$I$229,"Sí")=0,IF(_xlfn.MINIFS('Registro entrevistas'!$J$30:$J$229,'Registro entrevistas'!$F$30:$F$229,B83)=0,"",MIN(3,_xlfn.MINIFS('Registro entrevistas'!$J$30:$J$229,'Registro entrevistas'!$F$30:$F$229,B83))),IF(_xlfn.MINIFS('Registro entrevistas'!$J$30:$J$229,'Registro entrevistas'!$F$30:$F$229,B83,'Registro entrevistas'!$I$30:$I$229,"Sí")=0,"",_xlfn.MINIFS('Registro entrevistas'!$J$30:$J$229,'Registro entrevistas'!$F$30:$F$229,B83,'Registro entrevistas'!$I$30:$I$229,"Sí"))))</f>
        <v/>
      </c>
      <c r="F83" s="12" t="n"/>
      <c r="G83" s="12" t="inlineStr">
        <is>
          <t>Sí</t>
        </is>
      </c>
    </row>
    <row r="84" ht="62" customHeight="1">
      <c r="A84" s="12" t="inlineStr">
        <is>
          <t>ISO 27001:2022</t>
        </is>
      </c>
      <c r="B84" s="12" t="inlineStr">
        <is>
          <t>8.24</t>
        </is>
      </c>
      <c r="C84" s="12" t="inlineStr">
        <is>
          <t>Uso de criptografía. Qué debe levantar: El cifrado usa estándares definidos, en tránsito y en reposo.</t>
        </is>
      </c>
      <c r="D84" s="12" t="inlineStr">
        <is>
          <t>8. Controles Tecnológicos</t>
        </is>
      </c>
      <c r="E84" s="35">
        <f>IF(COUNTIF('Registro entrevistas'!$F$30:$F$229,B84)=0,"",IF(COUNTIFS('Registro entrevistas'!$F$30:$F$229,B84,'Registro entrevistas'!$I$30:$I$229,"Sí")=0,IF(_xlfn.MINIFS('Registro entrevistas'!$J$30:$J$229,'Registro entrevistas'!$F$30:$F$229,B84)=0,"",MIN(3,_xlfn.MINIFS('Registro entrevistas'!$J$30:$J$229,'Registro entrevistas'!$F$30:$F$229,B84))),IF(_xlfn.MINIFS('Registro entrevistas'!$J$30:$J$229,'Registro entrevistas'!$F$30:$F$229,B84,'Registro entrevistas'!$I$30:$I$229,"Sí")=0,"",_xlfn.MINIFS('Registro entrevistas'!$J$30:$J$229,'Registro entrevistas'!$F$30:$F$229,B84,'Registro entrevistas'!$I$30:$I$229,"Sí"))))</f>
        <v/>
      </c>
      <c r="F84" s="12" t="n"/>
      <c r="G84" s="12" t="inlineStr">
        <is>
          <t>Sí</t>
        </is>
      </c>
    </row>
    <row r="85" ht="62" customHeight="1">
      <c r="A85" s="12" t="inlineStr">
        <is>
          <t>ISO 27001:2022</t>
        </is>
      </c>
      <c r="B85" s="12" t="inlineStr">
        <is>
          <t>8.25</t>
        </is>
      </c>
      <c r="C85" s="12" t="inlineStr">
        <is>
          <t>Ciclo de vida de desarrollo seguro. Qué debe levantar: El ciclo de desarrollo integra seguridad desde el diseño.</t>
        </is>
      </c>
      <c r="D85" s="12" t="inlineStr">
        <is>
          <t>8. Controles Tecnológicos</t>
        </is>
      </c>
      <c r="E85" s="35">
        <f>IF(COUNTIF('Registro entrevistas'!$F$30:$F$229,B85)=0,"",IF(COUNTIFS('Registro entrevistas'!$F$30:$F$229,B85,'Registro entrevistas'!$I$30:$I$229,"Sí")=0,IF(_xlfn.MINIFS('Registro entrevistas'!$J$30:$J$229,'Registro entrevistas'!$F$30:$F$229,B85)=0,"",MIN(3,_xlfn.MINIFS('Registro entrevistas'!$J$30:$J$229,'Registro entrevistas'!$F$30:$F$229,B85))),IF(_xlfn.MINIFS('Registro entrevistas'!$J$30:$J$229,'Registro entrevistas'!$F$30:$F$229,B85,'Registro entrevistas'!$I$30:$I$229,"Sí")=0,"",_xlfn.MINIFS('Registro entrevistas'!$J$30:$J$229,'Registro entrevistas'!$F$30:$F$229,B85,'Registro entrevistas'!$I$30:$I$229,"Sí"))))</f>
        <v/>
      </c>
      <c r="F85" s="12" t="n"/>
      <c r="G85" s="12" t="inlineStr">
        <is>
          <t>Sí</t>
        </is>
      </c>
    </row>
    <row r="86" ht="62" customHeight="1">
      <c r="A86" s="12" t="inlineStr">
        <is>
          <t>ISO 27001:2022</t>
        </is>
      </c>
      <c r="B86" s="12" t="inlineStr">
        <is>
          <t>8.26</t>
        </is>
      </c>
      <c r="C86" s="12" t="inlineStr">
        <is>
          <t>Requisitos de seguridad en aplicaciones. Qué debe levantar: Los requisitos de seguridad se definen antes de desarrollar o comprar una aplicación.</t>
        </is>
      </c>
      <c r="D86" s="12" t="inlineStr">
        <is>
          <t>8. Controles Tecnológicos</t>
        </is>
      </c>
      <c r="E86" s="35">
        <f>IF(COUNTIF('Registro entrevistas'!$F$30:$F$229,B86)=0,"",IF(COUNTIFS('Registro entrevistas'!$F$30:$F$229,B86,'Registro entrevistas'!$I$30:$I$229,"Sí")=0,IF(_xlfn.MINIFS('Registro entrevistas'!$J$30:$J$229,'Registro entrevistas'!$F$30:$F$229,B86)=0,"",MIN(3,_xlfn.MINIFS('Registro entrevistas'!$J$30:$J$229,'Registro entrevistas'!$F$30:$F$229,B86))),IF(_xlfn.MINIFS('Registro entrevistas'!$J$30:$J$229,'Registro entrevistas'!$F$30:$F$229,B86,'Registro entrevistas'!$I$30:$I$229,"Sí")=0,"",_xlfn.MINIFS('Registro entrevistas'!$J$30:$J$229,'Registro entrevistas'!$F$30:$F$229,B86,'Registro entrevistas'!$I$30:$I$229,"Sí"))))</f>
        <v/>
      </c>
      <c r="F86" s="12" t="n"/>
      <c r="G86" s="12" t="inlineStr">
        <is>
          <t>Sí</t>
        </is>
      </c>
    </row>
    <row r="87" ht="62" customHeight="1">
      <c r="A87" s="12" t="inlineStr">
        <is>
          <t>ISO 27001:2022</t>
        </is>
      </c>
      <c r="B87" s="12" t="inlineStr">
        <is>
          <t>8.27</t>
        </is>
      </c>
      <c r="C87" s="12" t="inlineStr">
        <is>
          <t>Principios de arquitectura segura. Qué debe levantar: Se aplican principios de arquitectura segura.</t>
        </is>
      </c>
      <c r="D87" s="12" t="inlineStr">
        <is>
          <t>8. Controles Tecnológicos</t>
        </is>
      </c>
      <c r="E87" s="35">
        <f>IF(COUNTIF('Registro entrevistas'!$F$30:$F$229,B87)=0,"",IF(COUNTIFS('Registro entrevistas'!$F$30:$F$229,B87,'Registro entrevistas'!$I$30:$I$229,"Sí")=0,IF(_xlfn.MINIFS('Registro entrevistas'!$J$30:$J$229,'Registro entrevistas'!$F$30:$F$229,B87)=0,"",MIN(3,_xlfn.MINIFS('Registro entrevistas'!$J$30:$J$229,'Registro entrevistas'!$F$30:$F$229,B87))),IF(_xlfn.MINIFS('Registro entrevistas'!$J$30:$J$229,'Registro entrevistas'!$F$30:$F$229,B87,'Registro entrevistas'!$I$30:$I$229,"Sí")=0,"",_xlfn.MINIFS('Registro entrevistas'!$J$30:$J$229,'Registro entrevistas'!$F$30:$F$229,B87,'Registro entrevistas'!$I$30:$I$229,"Sí"))))</f>
        <v/>
      </c>
      <c r="F87" s="12" t="n"/>
      <c r="G87" s="12" t="inlineStr">
        <is>
          <t>Sí</t>
        </is>
      </c>
    </row>
    <row r="88" ht="62" customHeight="1">
      <c r="A88" s="12" t="inlineStr">
        <is>
          <t>ISO 27001:2022</t>
        </is>
      </c>
      <c r="B88" s="12" t="inlineStr">
        <is>
          <t>8.28</t>
        </is>
      </c>
      <c r="C88" s="12" t="inlineStr">
        <is>
          <t>Codificación segura. Qué debe levantar: El código se escribe y revisa con prácticas de codificación segura.</t>
        </is>
      </c>
      <c r="D88" s="12" t="inlineStr">
        <is>
          <t>8. Controles Tecnológicos</t>
        </is>
      </c>
      <c r="E88" s="35">
        <f>IF(COUNTIF('Registro entrevistas'!$F$30:$F$229,B88)=0,"",IF(COUNTIFS('Registro entrevistas'!$F$30:$F$229,B88,'Registro entrevistas'!$I$30:$I$229,"Sí")=0,IF(_xlfn.MINIFS('Registro entrevistas'!$J$30:$J$229,'Registro entrevistas'!$F$30:$F$229,B88)=0,"",MIN(3,_xlfn.MINIFS('Registro entrevistas'!$J$30:$J$229,'Registro entrevistas'!$F$30:$F$229,B88))),IF(_xlfn.MINIFS('Registro entrevistas'!$J$30:$J$229,'Registro entrevistas'!$F$30:$F$229,B88,'Registro entrevistas'!$I$30:$I$229,"Sí")=0,"",_xlfn.MINIFS('Registro entrevistas'!$J$30:$J$229,'Registro entrevistas'!$F$30:$F$229,B88,'Registro entrevistas'!$I$30:$I$229,"Sí"))))</f>
        <v/>
      </c>
      <c r="F88" s="12" t="n"/>
      <c r="G88" s="12" t="inlineStr">
        <is>
          <t>Sí</t>
        </is>
      </c>
    </row>
    <row r="89" ht="62" customHeight="1">
      <c r="A89" s="12" t="inlineStr">
        <is>
          <t>ISO 27001:2022</t>
        </is>
      </c>
      <c r="B89" s="12" t="inlineStr">
        <is>
          <t>8.29</t>
        </is>
      </c>
      <c r="C89" s="12" t="inlineStr">
        <is>
          <t>Pruebas de seguridad en desarrollo y aceptación. Qué debe levantar: Existen pruebas de seguridad antes de pasar a producción.</t>
        </is>
      </c>
      <c r="D89" s="12" t="inlineStr">
        <is>
          <t>8. Controles Tecnológicos</t>
        </is>
      </c>
      <c r="E89" s="35">
        <f>IF(COUNTIF('Registro entrevistas'!$F$30:$F$229,B89)=0,"",IF(COUNTIFS('Registro entrevistas'!$F$30:$F$229,B89,'Registro entrevistas'!$I$30:$I$229,"Sí")=0,IF(_xlfn.MINIFS('Registro entrevistas'!$J$30:$J$229,'Registro entrevistas'!$F$30:$F$229,B89)=0,"",MIN(3,_xlfn.MINIFS('Registro entrevistas'!$J$30:$J$229,'Registro entrevistas'!$F$30:$F$229,B89))),IF(_xlfn.MINIFS('Registro entrevistas'!$J$30:$J$229,'Registro entrevistas'!$F$30:$F$229,B89,'Registro entrevistas'!$I$30:$I$229,"Sí")=0,"",_xlfn.MINIFS('Registro entrevistas'!$J$30:$J$229,'Registro entrevistas'!$F$30:$F$229,B89,'Registro entrevistas'!$I$30:$I$229,"Sí"))))</f>
        <v/>
      </c>
      <c r="F89" s="12" t="n"/>
      <c r="G89" s="12" t="inlineStr">
        <is>
          <t>Sí</t>
        </is>
      </c>
    </row>
    <row r="90" ht="62" customHeight="1">
      <c r="A90" s="12" t="inlineStr">
        <is>
          <t>ISO 27001:2022</t>
        </is>
      </c>
      <c r="B90" s="12" t="inlineStr">
        <is>
          <t>8.30</t>
        </is>
      </c>
      <c r="C90" s="12" t="inlineStr">
        <is>
          <t>Desarrollo externalizado. Qué debe levantar: Los proveedores de desarrollo cumplen requisitos de seguridad.</t>
        </is>
      </c>
      <c r="D90" s="12" t="inlineStr">
        <is>
          <t>8. Controles Tecnológicos</t>
        </is>
      </c>
      <c r="E90" s="35">
        <f>IF(COUNTIF('Registro entrevistas'!$F$30:$F$229,B90)=0,"",IF(COUNTIFS('Registro entrevistas'!$F$30:$F$229,B90,'Registro entrevistas'!$I$30:$I$229,"Sí")=0,IF(_xlfn.MINIFS('Registro entrevistas'!$J$30:$J$229,'Registro entrevistas'!$F$30:$F$229,B90)=0,"",MIN(3,_xlfn.MINIFS('Registro entrevistas'!$J$30:$J$229,'Registro entrevistas'!$F$30:$F$229,B90))),IF(_xlfn.MINIFS('Registro entrevistas'!$J$30:$J$229,'Registro entrevistas'!$F$30:$F$229,B90,'Registro entrevistas'!$I$30:$I$229,"Sí")=0,"",_xlfn.MINIFS('Registro entrevistas'!$J$30:$J$229,'Registro entrevistas'!$F$30:$F$229,B90,'Registro entrevistas'!$I$30:$I$229,"Sí"))))</f>
        <v/>
      </c>
      <c r="F90" s="12" t="n"/>
      <c r="G90" s="12" t="inlineStr">
        <is>
          <t>Sí</t>
        </is>
      </c>
    </row>
    <row r="91" ht="62" customHeight="1">
      <c r="A91" s="12" t="inlineStr">
        <is>
          <t>ISO 27001:2022</t>
        </is>
      </c>
      <c r="B91" s="12" t="inlineStr">
        <is>
          <t>8.31</t>
        </is>
      </c>
      <c r="C91" s="12" t="inlineStr">
        <is>
          <t>Separación de entornos. Qué debe levantar: Los entornos de desarrollo, prueba y producción están separados.</t>
        </is>
      </c>
      <c r="D91" s="12" t="inlineStr">
        <is>
          <t>8. Controles Tecnológicos</t>
        </is>
      </c>
      <c r="E91" s="35">
        <f>IF(COUNTIF('Registro entrevistas'!$F$30:$F$229,B91)=0,"",IF(COUNTIFS('Registro entrevistas'!$F$30:$F$229,B91,'Registro entrevistas'!$I$30:$I$229,"Sí")=0,IF(_xlfn.MINIFS('Registro entrevistas'!$J$30:$J$229,'Registro entrevistas'!$F$30:$F$229,B91)=0,"",MIN(3,_xlfn.MINIFS('Registro entrevistas'!$J$30:$J$229,'Registro entrevistas'!$F$30:$F$229,B91))),IF(_xlfn.MINIFS('Registro entrevistas'!$J$30:$J$229,'Registro entrevistas'!$F$30:$F$229,B91,'Registro entrevistas'!$I$30:$I$229,"Sí")=0,"",_xlfn.MINIFS('Registro entrevistas'!$J$30:$J$229,'Registro entrevistas'!$F$30:$F$229,B91,'Registro entrevistas'!$I$30:$I$229,"Sí"))))</f>
        <v/>
      </c>
      <c r="F91" s="12" t="n"/>
      <c r="G91" s="12" t="inlineStr">
        <is>
          <t>Sí</t>
        </is>
      </c>
    </row>
    <row r="92" ht="62" customHeight="1">
      <c r="A92" s="12" t="inlineStr">
        <is>
          <t>ISO 27001:2022</t>
        </is>
      </c>
      <c r="B92" s="12" t="inlineStr">
        <is>
          <t>8.32</t>
        </is>
      </c>
      <c r="C92" s="12" t="inlineStr">
        <is>
          <t>Gestión de cambios. Qué debe levantar: Los cambios se aprueban y registran antes de implementarse.</t>
        </is>
      </c>
      <c r="D92" s="12" t="inlineStr">
        <is>
          <t>8. Controles Tecnológicos</t>
        </is>
      </c>
      <c r="E92" s="35">
        <f>IF(COUNTIF('Registro entrevistas'!$F$30:$F$229,B92)=0,"",IF(COUNTIFS('Registro entrevistas'!$F$30:$F$229,B92,'Registro entrevistas'!$I$30:$I$229,"Sí")=0,IF(_xlfn.MINIFS('Registro entrevistas'!$J$30:$J$229,'Registro entrevistas'!$F$30:$F$229,B92)=0,"",MIN(3,_xlfn.MINIFS('Registro entrevistas'!$J$30:$J$229,'Registro entrevistas'!$F$30:$F$229,B92))),IF(_xlfn.MINIFS('Registro entrevistas'!$J$30:$J$229,'Registro entrevistas'!$F$30:$F$229,B92,'Registro entrevistas'!$I$30:$I$229,"Sí")=0,"",_xlfn.MINIFS('Registro entrevistas'!$J$30:$J$229,'Registro entrevistas'!$F$30:$F$229,B92,'Registro entrevistas'!$I$30:$I$229,"Sí"))))</f>
        <v/>
      </c>
      <c r="F92" s="12" t="n"/>
      <c r="G92" s="12" t="inlineStr">
        <is>
          <t>Sí</t>
        </is>
      </c>
    </row>
    <row r="93" ht="62" customHeight="1">
      <c r="A93" s="12" t="inlineStr">
        <is>
          <t>ISO 27001:2022</t>
        </is>
      </c>
      <c r="B93" s="12" t="inlineStr">
        <is>
          <t>8.33</t>
        </is>
      </c>
      <c r="C93" s="12" t="inlineStr">
        <is>
          <t>Información de prueba. Qué debe levantar: Los datos de prueba no contienen datos personales reales sin protección.</t>
        </is>
      </c>
      <c r="D93" s="12" t="inlineStr">
        <is>
          <t>8. Controles Tecnológicos</t>
        </is>
      </c>
      <c r="E93" s="35">
        <f>IF(COUNTIF('Registro entrevistas'!$F$30:$F$229,B93)=0,"",IF(COUNTIFS('Registro entrevistas'!$F$30:$F$229,B93,'Registro entrevistas'!$I$30:$I$229,"Sí")=0,IF(_xlfn.MINIFS('Registro entrevistas'!$J$30:$J$229,'Registro entrevistas'!$F$30:$F$229,B93)=0,"",MIN(3,_xlfn.MINIFS('Registro entrevistas'!$J$30:$J$229,'Registro entrevistas'!$F$30:$F$229,B93))),IF(_xlfn.MINIFS('Registro entrevistas'!$J$30:$J$229,'Registro entrevistas'!$F$30:$F$229,B93,'Registro entrevistas'!$I$30:$I$229,"Sí")=0,"",_xlfn.MINIFS('Registro entrevistas'!$J$30:$J$229,'Registro entrevistas'!$F$30:$F$229,B93,'Registro entrevistas'!$I$30:$I$229,"Sí"))))</f>
        <v/>
      </c>
      <c r="F93" s="12" t="n"/>
      <c r="G93" s="12" t="inlineStr">
        <is>
          <t>Sí</t>
        </is>
      </c>
    </row>
    <row r="94" ht="62" customHeight="1">
      <c r="A94" s="12" t="inlineStr">
        <is>
          <t>ISO 27001:2022</t>
        </is>
      </c>
      <c r="B94" s="12" t="inlineStr">
        <is>
          <t>8.34</t>
        </is>
      </c>
      <c r="C94" s="12" t="inlineStr">
        <is>
          <t>Protección de sistemas de información en auditoría. Qué debe levantar: Las auditorías se planifican para no afectar la operación.</t>
        </is>
      </c>
      <c r="D94" s="12" t="inlineStr">
        <is>
          <t>8. Controles Tecnológicos</t>
        </is>
      </c>
      <c r="E94" s="35">
        <f>IF(COUNTIF('Registro entrevistas'!$F$30:$F$229,B94)=0,"",IF(COUNTIFS('Registro entrevistas'!$F$30:$F$229,B94,'Registro entrevistas'!$I$30:$I$229,"Sí")=0,IF(_xlfn.MINIFS('Registro entrevistas'!$J$30:$J$229,'Registro entrevistas'!$F$30:$F$229,B94)=0,"",MIN(3,_xlfn.MINIFS('Registro entrevistas'!$J$30:$J$229,'Registro entrevistas'!$F$30:$F$229,B94))),IF(_xlfn.MINIFS('Registro entrevistas'!$J$30:$J$229,'Registro entrevistas'!$F$30:$F$229,B94,'Registro entrevistas'!$I$30:$I$229,"Sí")=0,"",_xlfn.MINIFS('Registro entrevistas'!$J$30:$J$229,'Registro entrevistas'!$F$30:$F$229,B94,'Registro entrevistas'!$I$30:$I$229,"Sí"))))</f>
        <v/>
      </c>
      <c r="F94" s="12" t="n"/>
      <c r="G94" s="12" t="inlineStr">
        <is>
          <t>Sí</t>
        </is>
      </c>
    </row>
    <row r="95" ht="62" customHeight="1">
      <c r="A95" s="12" t="inlineStr">
        <is>
          <t>NIST CSF 2.0</t>
        </is>
      </c>
      <c r="B95" s="12" t="inlineStr">
        <is>
          <t>NIST GV.OC-01</t>
        </is>
      </c>
      <c r="C95" s="12" t="inlineStr">
        <is>
          <t>Misión y contexto de la organización. Qué debe levantar: Verificar que la misión y los objetivos del negocio se conocen y se usan para decidir el nivel de riesgo de privacidad y seguridad.</t>
        </is>
      </c>
      <c r="D95" s="12" t="inlineStr">
        <is>
          <t>Gobernar (GOVERN)</t>
        </is>
      </c>
      <c r="E95" s="35">
        <f>IF(COUNTIF('Registro entrevistas'!$F$30:$F$229,B95)=0,"",IF(COUNTIFS('Registro entrevistas'!$F$30:$F$229,B95,'Registro entrevistas'!$I$30:$I$229,"Sí")=0,IF(_xlfn.MINIFS('Registro entrevistas'!$J$30:$J$229,'Registro entrevistas'!$F$30:$F$229,B95)=0,"",MIN(3,_xlfn.MINIFS('Registro entrevistas'!$J$30:$J$229,'Registro entrevistas'!$F$30:$F$229,B95))),IF(_xlfn.MINIFS('Registro entrevistas'!$J$30:$J$229,'Registro entrevistas'!$F$30:$F$229,B95,'Registro entrevistas'!$I$30:$I$229,"Sí")=0,"",_xlfn.MINIFS('Registro entrevistas'!$J$30:$J$229,'Registro entrevistas'!$F$30:$F$229,B95,'Registro entrevistas'!$I$30:$I$229,"Sí"))))</f>
        <v/>
      </c>
      <c r="F95" s="12" t="n"/>
      <c r="G95" s="12" t="inlineStr">
        <is>
          <t>Sí</t>
        </is>
      </c>
    </row>
    <row r="96" ht="62" customHeight="1">
      <c r="A96" s="12" t="inlineStr">
        <is>
          <t>NIST CSF 2.0</t>
        </is>
      </c>
      <c r="B96" s="12" t="inlineStr">
        <is>
          <t>NIST GV.OC-02</t>
        </is>
      </c>
      <c r="C96" s="12" t="inlineStr">
        <is>
          <t>Partes interesadas y sus expectativas. Qué debe levantar: Verificar que están identificados clientes, empleados, reguladores y proveedores, y qué esperan de la organización en privacidad y seguridad.</t>
        </is>
      </c>
      <c r="D96" s="12" t="inlineStr">
        <is>
          <t>Gobernar (GOVERN)</t>
        </is>
      </c>
      <c r="E96" s="35">
        <f>IF(COUNTIF('Registro entrevistas'!$F$30:$F$229,B96)=0,"",IF(COUNTIFS('Registro entrevistas'!$F$30:$F$229,B96,'Registro entrevistas'!$I$30:$I$229,"Sí")=0,IF(_xlfn.MINIFS('Registro entrevistas'!$J$30:$J$229,'Registro entrevistas'!$F$30:$F$229,B96)=0,"",MIN(3,_xlfn.MINIFS('Registro entrevistas'!$J$30:$J$229,'Registro entrevistas'!$F$30:$F$229,B96))),IF(_xlfn.MINIFS('Registro entrevistas'!$J$30:$J$229,'Registro entrevistas'!$F$30:$F$229,B96,'Registro entrevistas'!$I$30:$I$229,"Sí")=0,"",_xlfn.MINIFS('Registro entrevistas'!$J$30:$J$229,'Registro entrevistas'!$F$30:$F$229,B96,'Registro entrevistas'!$I$30:$I$229,"Sí"))))</f>
        <v/>
      </c>
      <c r="F96" s="12" t="n"/>
      <c r="G96" s="12" t="inlineStr">
        <is>
          <t>Sí</t>
        </is>
      </c>
    </row>
    <row r="97" ht="62" customHeight="1">
      <c r="A97" s="12" t="inlineStr">
        <is>
          <t>NIST CSF 2.0</t>
        </is>
      </c>
      <c r="B97" s="12" t="inlineStr">
        <is>
          <t>NIST GV.OC-03</t>
        </is>
      </c>
      <c r="C97" s="12" t="inlineStr">
        <is>
          <t>Obligaciones legales, regulatorias y contractuales. Qué debe levantar: Verificar que existe una lista de leyes y contratos aplicables (incluida la Ley 21.719) y que alguien es responsable de mantenerla.</t>
        </is>
      </c>
      <c r="D97" s="12" t="inlineStr">
        <is>
          <t>Gobernar (GOVERN)</t>
        </is>
      </c>
      <c r="E97" s="35">
        <f>IF(COUNTIF('Registro entrevistas'!$F$30:$F$229,B97)=0,"",IF(COUNTIFS('Registro entrevistas'!$F$30:$F$229,B97,'Registro entrevistas'!$I$30:$I$229,"Sí")=0,IF(_xlfn.MINIFS('Registro entrevistas'!$J$30:$J$229,'Registro entrevistas'!$F$30:$F$229,B97)=0,"",MIN(3,_xlfn.MINIFS('Registro entrevistas'!$J$30:$J$229,'Registro entrevistas'!$F$30:$F$229,B97))),IF(_xlfn.MINIFS('Registro entrevistas'!$J$30:$J$229,'Registro entrevistas'!$F$30:$F$229,B97,'Registro entrevistas'!$I$30:$I$229,"Sí")=0,"",_xlfn.MINIFS('Registro entrevistas'!$J$30:$J$229,'Registro entrevistas'!$F$30:$F$229,B97,'Registro entrevistas'!$I$30:$I$229,"Sí"))))</f>
        <v/>
      </c>
      <c r="F97" s="12" t="n"/>
      <c r="G97" s="12" t="inlineStr">
        <is>
          <t>Sí</t>
        </is>
      </c>
    </row>
    <row r="98" ht="62" customHeight="1">
      <c r="A98" s="12" t="inlineStr">
        <is>
          <t>NIST CSF 2.0</t>
        </is>
      </c>
      <c r="B98" s="12" t="inlineStr">
        <is>
          <t>NIST GV.OC-04</t>
        </is>
      </c>
      <c r="C98" s="12" t="inlineStr">
        <is>
          <t>Expectativas de partes externas sobre la organización. Qué debe levantar: Verificar que los compromisos con clientes y terceros (por ejemplo, de seguridad de pagos) están documentados y comunicados.</t>
        </is>
      </c>
      <c r="D98" s="12" t="inlineStr">
        <is>
          <t>Gobernar (GOVERN)</t>
        </is>
      </c>
      <c r="E98" s="35">
        <f>IF(COUNTIF('Registro entrevistas'!$F$30:$F$229,B98)=0,"",IF(COUNTIFS('Registro entrevistas'!$F$30:$F$229,B98,'Registro entrevistas'!$I$30:$I$229,"Sí")=0,IF(_xlfn.MINIFS('Registro entrevistas'!$J$30:$J$229,'Registro entrevistas'!$F$30:$F$229,B98)=0,"",MIN(3,_xlfn.MINIFS('Registro entrevistas'!$J$30:$J$229,'Registro entrevistas'!$F$30:$F$229,B98))),IF(_xlfn.MINIFS('Registro entrevistas'!$J$30:$J$229,'Registro entrevistas'!$F$30:$F$229,B98,'Registro entrevistas'!$I$30:$I$229,"Sí")=0,"",_xlfn.MINIFS('Registro entrevistas'!$J$30:$J$229,'Registro entrevistas'!$F$30:$F$229,B98,'Registro entrevistas'!$I$30:$I$229,"Sí"))))</f>
        <v/>
      </c>
      <c r="F98" s="12" t="n"/>
      <c r="G98" s="12" t="inlineStr">
        <is>
          <t>Sí</t>
        </is>
      </c>
    </row>
    <row r="99" ht="62" customHeight="1">
      <c r="A99" s="12" t="inlineStr">
        <is>
          <t>NIST CSF 2.0</t>
        </is>
      </c>
      <c r="B99" s="12" t="inlineStr">
        <is>
          <t>NIST GV.OC-05</t>
        </is>
      </c>
      <c r="C99" s="12" t="inlineStr">
        <is>
          <t>Dependencias y servicios críticos de la organización. Qué debe levantar: Verificar que se conocen los servicios de los que depende la organización (nube, pagos, logística) y su criticidad.</t>
        </is>
      </c>
      <c r="D99" s="12" t="inlineStr">
        <is>
          <t>Gobernar (GOVERN)</t>
        </is>
      </c>
      <c r="E99" s="35">
        <f>IF(COUNTIF('Registro entrevistas'!$F$30:$F$229,B99)=0,"",IF(COUNTIFS('Registro entrevistas'!$F$30:$F$229,B99,'Registro entrevistas'!$I$30:$I$229,"Sí")=0,IF(_xlfn.MINIFS('Registro entrevistas'!$J$30:$J$229,'Registro entrevistas'!$F$30:$F$229,B99)=0,"",MIN(3,_xlfn.MINIFS('Registro entrevistas'!$J$30:$J$229,'Registro entrevistas'!$F$30:$F$229,B99))),IF(_xlfn.MINIFS('Registro entrevistas'!$J$30:$J$229,'Registro entrevistas'!$F$30:$F$229,B99,'Registro entrevistas'!$I$30:$I$229,"Sí")=0,"",_xlfn.MINIFS('Registro entrevistas'!$J$30:$J$229,'Registro entrevistas'!$F$30:$F$229,B99,'Registro entrevistas'!$I$30:$I$229,"Sí"))))</f>
        <v/>
      </c>
      <c r="F99" s="12" t="n"/>
      <c r="G99" s="12" t="inlineStr">
        <is>
          <t>Sí</t>
        </is>
      </c>
    </row>
    <row r="100" ht="62" customHeight="1">
      <c r="A100" s="12" t="inlineStr">
        <is>
          <t>NIST CSF 2.0</t>
        </is>
      </c>
      <c r="B100" s="12" t="inlineStr">
        <is>
          <t>NIST GV.RR-01</t>
        </is>
      </c>
      <c r="C100" s="12" t="inlineStr">
        <is>
          <t>Liderazgo responsable del riesgo de ciberseguridad. Qué debe levantar: Verificar que la dirección asume la responsabilidad del riesgo de seguridad y privacidad (actas, reportes a directorio).</t>
        </is>
      </c>
      <c r="D100" s="12" t="inlineStr">
        <is>
          <t>Gobernar (GOVERN)</t>
        </is>
      </c>
      <c r="E100" s="35">
        <f>IF(COUNTIF('Registro entrevistas'!$F$30:$F$229,B100)=0,"",IF(COUNTIFS('Registro entrevistas'!$F$30:$F$229,B100,'Registro entrevistas'!$I$30:$I$229,"Sí")=0,IF(_xlfn.MINIFS('Registro entrevistas'!$J$30:$J$229,'Registro entrevistas'!$F$30:$F$229,B100)=0,"",MIN(3,_xlfn.MINIFS('Registro entrevistas'!$J$30:$J$229,'Registro entrevistas'!$F$30:$F$229,B100))),IF(_xlfn.MINIFS('Registro entrevistas'!$J$30:$J$229,'Registro entrevistas'!$F$30:$F$229,B100,'Registro entrevistas'!$I$30:$I$229,"Sí")=0,"",_xlfn.MINIFS('Registro entrevistas'!$J$30:$J$229,'Registro entrevistas'!$F$30:$F$229,B100,'Registro entrevistas'!$I$30:$I$229,"Sí"))))</f>
        <v/>
      </c>
      <c r="F100" s="12" t="n"/>
      <c r="G100" s="12" t="inlineStr">
        <is>
          <t>Sí</t>
        </is>
      </c>
    </row>
    <row r="101" ht="62" customHeight="1">
      <c r="A101" s="12" t="inlineStr">
        <is>
          <t>NIST CSF 2.0</t>
        </is>
      </c>
      <c r="B101" s="12" t="inlineStr">
        <is>
          <t>NIST GV.RR-02</t>
        </is>
      </c>
      <c r="C101" s="12" t="inlineStr">
        <is>
          <t>Roles, responsabilidades y autoridades definidos. Qué debe levantar: Verificar que los roles de seguridad y privacidad están definidos, comunicados y que sus responsables saben qué deben hacer.</t>
        </is>
      </c>
      <c r="D101" s="12" t="inlineStr">
        <is>
          <t>Gobernar (GOVERN)</t>
        </is>
      </c>
      <c r="E101" s="35">
        <f>IF(COUNTIF('Registro entrevistas'!$F$30:$F$229,B101)=0,"",IF(COUNTIFS('Registro entrevistas'!$F$30:$F$229,B101,'Registro entrevistas'!$I$30:$I$229,"Sí")=0,IF(_xlfn.MINIFS('Registro entrevistas'!$J$30:$J$229,'Registro entrevistas'!$F$30:$F$229,B101)=0,"",MIN(3,_xlfn.MINIFS('Registro entrevistas'!$J$30:$J$229,'Registro entrevistas'!$F$30:$F$229,B101))),IF(_xlfn.MINIFS('Registro entrevistas'!$J$30:$J$229,'Registro entrevistas'!$F$30:$F$229,B101,'Registro entrevistas'!$I$30:$I$229,"Sí")=0,"",_xlfn.MINIFS('Registro entrevistas'!$J$30:$J$229,'Registro entrevistas'!$F$30:$F$229,B101,'Registro entrevistas'!$I$30:$I$229,"Sí"))))</f>
        <v/>
      </c>
      <c r="F101" s="12" t="n"/>
      <c r="G101" s="12" t="inlineStr">
        <is>
          <t>Sí</t>
        </is>
      </c>
    </row>
    <row r="102" ht="62" customHeight="1">
      <c r="A102" s="12" t="inlineStr">
        <is>
          <t>NIST CSF 2.0</t>
        </is>
      </c>
      <c r="B102" s="12" t="inlineStr">
        <is>
          <t>NIST GV.RR-03</t>
        </is>
      </c>
      <c r="C102" s="12" t="inlineStr">
        <is>
          <t>Recursos asignados a la ciberseguridad. Qué debe levantar: Verificar que el presupuesto y el personal para seguridad y privacidad son suficientes para el alcance real.</t>
        </is>
      </c>
      <c r="D102" s="12" t="inlineStr">
        <is>
          <t>Gobernar (GOVERN)</t>
        </is>
      </c>
      <c r="E102" s="35">
        <f>IF(COUNTIF('Registro entrevistas'!$F$30:$F$229,B102)=0,"",IF(COUNTIFS('Registro entrevistas'!$F$30:$F$229,B102,'Registro entrevistas'!$I$30:$I$229,"Sí")=0,IF(_xlfn.MINIFS('Registro entrevistas'!$J$30:$J$229,'Registro entrevistas'!$F$30:$F$229,B102)=0,"",MIN(3,_xlfn.MINIFS('Registro entrevistas'!$J$30:$J$229,'Registro entrevistas'!$F$30:$F$229,B102))),IF(_xlfn.MINIFS('Registro entrevistas'!$J$30:$J$229,'Registro entrevistas'!$F$30:$F$229,B102,'Registro entrevistas'!$I$30:$I$229,"Sí")=0,"",_xlfn.MINIFS('Registro entrevistas'!$J$30:$J$229,'Registro entrevistas'!$F$30:$F$229,B102,'Registro entrevistas'!$I$30:$I$229,"Sí"))))</f>
        <v/>
      </c>
      <c r="F102" s="12" t="n"/>
      <c r="G102" s="12" t="inlineStr">
        <is>
          <t>Sí</t>
        </is>
      </c>
    </row>
    <row r="103" ht="62" customHeight="1">
      <c r="A103" s="12" t="inlineStr">
        <is>
          <t>NIST CSF 2.0</t>
        </is>
      </c>
      <c r="B103" s="12" t="inlineStr">
        <is>
          <t>NIST GV.RR-04</t>
        </is>
      </c>
      <c r="C103" s="12" t="inlineStr">
        <is>
          <t>Ciberseguridad incluida en RRHH. Qué debe levantar: Verificar que la contratación, la evaluación y la salida de personal incluyen requisitos de seguridad y privacidad.</t>
        </is>
      </c>
      <c r="D103" s="12" t="inlineStr">
        <is>
          <t>Gobernar (GOVERN)</t>
        </is>
      </c>
      <c r="E103" s="35">
        <f>IF(COUNTIF('Registro entrevistas'!$F$30:$F$229,B103)=0,"",IF(COUNTIFS('Registro entrevistas'!$F$30:$F$229,B103,'Registro entrevistas'!$I$30:$I$229,"Sí")=0,IF(_xlfn.MINIFS('Registro entrevistas'!$J$30:$J$229,'Registro entrevistas'!$F$30:$F$229,B103)=0,"",MIN(3,_xlfn.MINIFS('Registro entrevistas'!$J$30:$J$229,'Registro entrevistas'!$F$30:$F$229,B103))),IF(_xlfn.MINIFS('Registro entrevistas'!$J$30:$J$229,'Registro entrevistas'!$F$30:$F$229,B103,'Registro entrevistas'!$I$30:$I$229,"Sí")=0,"",_xlfn.MINIFS('Registro entrevistas'!$J$30:$J$229,'Registro entrevistas'!$F$30:$F$229,B103,'Registro entrevistas'!$I$30:$I$229,"Sí"))))</f>
        <v/>
      </c>
      <c r="F103" s="12" t="n"/>
      <c r="G103" s="12" t="inlineStr">
        <is>
          <t>Sí</t>
        </is>
      </c>
    </row>
    <row r="104" ht="62" customHeight="1">
      <c r="A104" s="12" t="inlineStr">
        <is>
          <t>NIST CSF 2.0</t>
        </is>
      </c>
      <c r="B104" s="12" t="inlineStr">
        <is>
          <t>NIST GV.PO-01</t>
        </is>
      </c>
      <c r="C104" s="12" t="inlineStr">
        <is>
          <t>Política de gestión del riesgo establecida. Qué debe levantar: Verificar que existe una política de gestión de riesgo de ciberseguridad aprobada, difundida y que se aplica.</t>
        </is>
      </c>
      <c r="D104" s="12" t="inlineStr">
        <is>
          <t>Gobernar (GOVERN)</t>
        </is>
      </c>
      <c r="E104" s="35">
        <f>IF(COUNTIF('Registro entrevistas'!$F$30:$F$229,B104)=0,"",IF(COUNTIFS('Registro entrevistas'!$F$30:$F$229,B104,'Registro entrevistas'!$I$30:$I$229,"Sí")=0,IF(_xlfn.MINIFS('Registro entrevistas'!$J$30:$J$229,'Registro entrevistas'!$F$30:$F$229,B104)=0,"",MIN(3,_xlfn.MINIFS('Registro entrevistas'!$J$30:$J$229,'Registro entrevistas'!$F$30:$F$229,B104))),IF(_xlfn.MINIFS('Registro entrevistas'!$J$30:$J$229,'Registro entrevistas'!$F$30:$F$229,B104,'Registro entrevistas'!$I$30:$I$229,"Sí")=0,"",_xlfn.MINIFS('Registro entrevistas'!$J$30:$J$229,'Registro entrevistas'!$F$30:$F$229,B104,'Registro entrevistas'!$I$30:$I$229,"Sí"))))</f>
        <v/>
      </c>
      <c r="F104" s="12" t="n"/>
      <c r="G104" s="12" t="inlineStr">
        <is>
          <t>Sí</t>
        </is>
      </c>
    </row>
    <row r="105" ht="62" customHeight="1">
      <c r="A105" s="12" t="inlineStr">
        <is>
          <t>NIST CSF 2.0</t>
        </is>
      </c>
      <c r="B105" s="12" t="inlineStr">
        <is>
          <t>NIST GV.PO-02</t>
        </is>
      </c>
      <c r="C105" s="12" t="inlineStr">
        <is>
          <t>Política revisada y actualizada. Qué debe levantar: Verificar la fecha de la última revisión de la política y que considera cambios legales y tecnológicos recientes.</t>
        </is>
      </c>
      <c r="D105" s="12" t="inlineStr">
        <is>
          <t>Gobernar (GOVERN)</t>
        </is>
      </c>
      <c r="E105" s="35">
        <f>IF(COUNTIF('Registro entrevistas'!$F$30:$F$229,B105)=0,"",IF(COUNTIFS('Registro entrevistas'!$F$30:$F$229,B105,'Registro entrevistas'!$I$30:$I$229,"Sí")=0,IF(_xlfn.MINIFS('Registro entrevistas'!$J$30:$J$229,'Registro entrevistas'!$F$30:$F$229,B105)=0,"",MIN(3,_xlfn.MINIFS('Registro entrevistas'!$J$30:$J$229,'Registro entrevistas'!$F$30:$F$229,B105))),IF(_xlfn.MINIFS('Registro entrevistas'!$J$30:$J$229,'Registro entrevistas'!$F$30:$F$229,B105,'Registro entrevistas'!$I$30:$I$229,"Sí")=0,"",_xlfn.MINIFS('Registro entrevistas'!$J$30:$J$229,'Registro entrevistas'!$F$30:$F$229,B105,'Registro entrevistas'!$I$30:$I$229,"Sí"))))</f>
        <v/>
      </c>
      <c r="F105" s="12" t="n"/>
      <c r="G105" s="12" t="inlineStr">
        <is>
          <t>Sí</t>
        </is>
      </c>
    </row>
    <row r="106" ht="62" customHeight="1">
      <c r="A106" s="12" t="inlineStr">
        <is>
          <t>NIST CSF 2.0</t>
        </is>
      </c>
      <c r="B106" s="12" t="inlineStr">
        <is>
          <t>NIST ID.AM-01</t>
        </is>
      </c>
      <c r="C106" s="12" t="inlineStr">
        <is>
          <t>Inventario de hardware. Qué debe levantar: Verificar que existe un listado de equipos (servidores, PC, POS, impresoras) con responsable y ubicación.</t>
        </is>
      </c>
      <c r="D106" s="12" t="inlineStr">
        <is>
          <t>Identificar (IDENTIFY)</t>
        </is>
      </c>
      <c r="E106" s="35">
        <f>IF(COUNTIF('Registro entrevistas'!$F$30:$F$229,B106)=0,"",IF(COUNTIFS('Registro entrevistas'!$F$30:$F$229,B106,'Registro entrevistas'!$I$30:$I$229,"Sí")=0,IF(_xlfn.MINIFS('Registro entrevistas'!$J$30:$J$229,'Registro entrevistas'!$F$30:$F$229,B106)=0,"",MIN(3,_xlfn.MINIFS('Registro entrevistas'!$J$30:$J$229,'Registro entrevistas'!$F$30:$F$229,B106))),IF(_xlfn.MINIFS('Registro entrevistas'!$J$30:$J$229,'Registro entrevistas'!$F$30:$F$229,B106,'Registro entrevistas'!$I$30:$I$229,"Sí")=0,"",_xlfn.MINIFS('Registro entrevistas'!$J$30:$J$229,'Registro entrevistas'!$F$30:$F$229,B106,'Registro entrevistas'!$I$30:$I$229,"Sí"))))</f>
        <v/>
      </c>
      <c r="F106" s="12" t="n"/>
      <c r="G106" s="12" t="inlineStr">
        <is>
          <t>Sí</t>
        </is>
      </c>
    </row>
    <row r="107" ht="62" customHeight="1">
      <c r="A107" s="12" t="inlineStr">
        <is>
          <t>NIST CSF 2.0</t>
        </is>
      </c>
      <c r="B107" s="12" t="inlineStr">
        <is>
          <t>NIST ID.AM-02</t>
        </is>
      </c>
      <c r="C107" s="12" t="inlineStr">
        <is>
          <t>Inventario de software y servicios. Qué debe levantar: Verificar que existe un listado de software y servicios en uso, incluidos los de nube y los no autorizados.</t>
        </is>
      </c>
      <c r="D107" s="12" t="inlineStr">
        <is>
          <t>Identificar (IDENTIFY)</t>
        </is>
      </c>
      <c r="E107" s="35">
        <f>IF(COUNTIF('Registro entrevistas'!$F$30:$F$229,B107)=0,"",IF(COUNTIFS('Registro entrevistas'!$F$30:$F$229,B107,'Registro entrevistas'!$I$30:$I$229,"Sí")=0,IF(_xlfn.MINIFS('Registro entrevistas'!$J$30:$J$229,'Registro entrevistas'!$F$30:$F$229,B107)=0,"",MIN(3,_xlfn.MINIFS('Registro entrevistas'!$J$30:$J$229,'Registro entrevistas'!$F$30:$F$229,B107))),IF(_xlfn.MINIFS('Registro entrevistas'!$J$30:$J$229,'Registro entrevistas'!$F$30:$F$229,B107,'Registro entrevistas'!$I$30:$I$229,"Sí")=0,"",_xlfn.MINIFS('Registro entrevistas'!$J$30:$J$229,'Registro entrevistas'!$F$30:$F$229,B107,'Registro entrevistas'!$I$30:$I$229,"Sí"))))</f>
        <v/>
      </c>
      <c r="F107" s="12" t="n"/>
      <c r="G107" s="12" t="inlineStr">
        <is>
          <t>Sí</t>
        </is>
      </c>
    </row>
    <row r="108" ht="62" customHeight="1">
      <c r="A108" s="12" t="inlineStr">
        <is>
          <t>NIST CSF 2.0</t>
        </is>
      </c>
      <c r="B108" s="12" t="inlineStr">
        <is>
          <t>NIST ID.AM-03</t>
        </is>
      </c>
      <c r="C108" s="12" t="inlineStr">
        <is>
          <t>Mapa de flujos de datos y comunicaciones. Qué debe levantar: Verificar que hay un diagrama de flujos de datos personales dentro de la organización y hacia terceros.</t>
        </is>
      </c>
      <c r="D108" s="12" t="inlineStr">
        <is>
          <t>Identificar (IDENTIFY)</t>
        </is>
      </c>
      <c r="E108" s="35">
        <f>IF(COUNTIF('Registro entrevistas'!$F$30:$F$229,B108)=0,"",IF(COUNTIFS('Registro entrevistas'!$F$30:$F$229,B108,'Registro entrevistas'!$I$30:$I$229,"Sí")=0,IF(_xlfn.MINIFS('Registro entrevistas'!$J$30:$J$229,'Registro entrevistas'!$F$30:$F$229,B108)=0,"",MIN(3,_xlfn.MINIFS('Registro entrevistas'!$J$30:$J$229,'Registro entrevistas'!$F$30:$F$229,B108))),IF(_xlfn.MINIFS('Registro entrevistas'!$J$30:$J$229,'Registro entrevistas'!$F$30:$F$229,B108,'Registro entrevistas'!$I$30:$I$229,"Sí")=0,"",_xlfn.MINIFS('Registro entrevistas'!$J$30:$J$229,'Registro entrevistas'!$F$30:$F$229,B108,'Registro entrevistas'!$I$30:$I$229,"Sí"))))</f>
        <v/>
      </c>
      <c r="F108" s="12" t="n"/>
      <c r="G108" s="12" t="inlineStr">
        <is>
          <t>Sí</t>
        </is>
      </c>
    </row>
    <row r="109" ht="62" customHeight="1">
      <c r="A109" s="12" t="inlineStr">
        <is>
          <t>NIST CSF 2.0</t>
        </is>
      </c>
      <c r="B109" s="12" t="inlineStr">
        <is>
          <t>NIST ID.AM-05</t>
        </is>
      </c>
      <c r="C109" s="12" t="inlineStr">
        <is>
          <t>Priorización de activos por criticidad. Qué debe levantar: Verificar que los activos se priorizan (crítico, alto, medio, bajo) y que la prioridad guía los controles.</t>
        </is>
      </c>
      <c r="D109" s="12" t="inlineStr">
        <is>
          <t>Identificar (IDENTIFY)</t>
        </is>
      </c>
      <c r="E109" s="35">
        <f>IF(COUNTIF('Registro entrevistas'!$F$30:$F$229,B109)=0,"",IF(COUNTIFS('Registro entrevistas'!$F$30:$F$229,B109,'Registro entrevistas'!$I$30:$I$229,"Sí")=0,IF(_xlfn.MINIFS('Registro entrevistas'!$J$30:$J$229,'Registro entrevistas'!$F$30:$F$229,B109)=0,"",MIN(3,_xlfn.MINIFS('Registro entrevistas'!$J$30:$J$229,'Registro entrevistas'!$F$30:$F$229,B109))),IF(_xlfn.MINIFS('Registro entrevistas'!$J$30:$J$229,'Registro entrevistas'!$F$30:$F$229,B109,'Registro entrevistas'!$I$30:$I$229,"Sí")=0,"",_xlfn.MINIFS('Registro entrevistas'!$J$30:$J$229,'Registro entrevistas'!$F$30:$F$229,B109,'Registro entrevistas'!$I$30:$I$229,"Sí"))))</f>
        <v/>
      </c>
      <c r="F109" s="12" t="n"/>
      <c r="G109" s="12" t="inlineStr">
        <is>
          <t>Sí</t>
        </is>
      </c>
    </row>
    <row r="110" ht="62" customHeight="1">
      <c r="A110" s="12" t="inlineStr">
        <is>
          <t>NIST CSF 2.0</t>
        </is>
      </c>
      <c r="B110" s="12" t="inlineStr">
        <is>
          <t>NIST ID.AM-08</t>
        </is>
      </c>
      <c r="C110" s="12" t="inlineStr">
        <is>
          <t>Gestión de activos a lo largo de su ciclo de vida. Qué debe levantar: Verificar que los sistemas se gestionan desde su compra hasta su baja, con responsables en cada etapa.</t>
        </is>
      </c>
      <c r="D110" s="12" t="inlineStr">
        <is>
          <t>Identificar (IDENTIFY)</t>
        </is>
      </c>
      <c r="E110" s="35">
        <f>IF(COUNTIF('Registro entrevistas'!$F$30:$F$229,B110)=0,"",IF(COUNTIFS('Registro entrevistas'!$F$30:$F$229,B110,'Registro entrevistas'!$I$30:$I$229,"Sí")=0,IF(_xlfn.MINIFS('Registro entrevistas'!$J$30:$J$229,'Registro entrevistas'!$F$30:$F$229,B110)=0,"",MIN(3,_xlfn.MINIFS('Registro entrevistas'!$J$30:$J$229,'Registro entrevistas'!$F$30:$F$229,B110))),IF(_xlfn.MINIFS('Registro entrevistas'!$J$30:$J$229,'Registro entrevistas'!$F$30:$F$229,B110,'Registro entrevistas'!$I$30:$I$229,"Sí")=0,"",_xlfn.MINIFS('Registro entrevistas'!$J$30:$J$229,'Registro entrevistas'!$F$30:$F$229,B110,'Registro entrevistas'!$I$30:$I$229,"Sí"))))</f>
        <v/>
      </c>
      <c r="F110" s="12" t="n"/>
      <c r="G110" s="12" t="inlineStr">
        <is>
          <t>Sí</t>
        </is>
      </c>
    </row>
    <row r="111" ht="62" customHeight="1">
      <c r="A111" s="12" t="inlineStr">
        <is>
          <t>NIST CSF 2.0</t>
        </is>
      </c>
      <c r="B111" s="12" t="inlineStr">
        <is>
          <t>NIST ID.RA-01</t>
        </is>
      </c>
      <c r="C111" s="12" t="inlineStr">
        <is>
          <t>Identificación de vulnerabilidades. Qué debe levantar: Verificar que se realizan escaneos de vulnerabilidades periódicos y que los hallazgos se registran y validan.</t>
        </is>
      </c>
      <c r="D111" s="12" t="inlineStr">
        <is>
          <t>Identificar (IDENTIFY)</t>
        </is>
      </c>
      <c r="E111" s="35">
        <f>IF(COUNTIF('Registro entrevistas'!$F$30:$F$229,B111)=0,"",IF(COUNTIFS('Registro entrevistas'!$F$30:$F$229,B111,'Registro entrevistas'!$I$30:$I$229,"Sí")=0,IF(_xlfn.MINIFS('Registro entrevistas'!$J$30:$J$229,'Registro entrevistas'!$F$30:$F$229,B111)=0,"",MIN(3,_xlfn.MINIFS('Registro entrevistas'!$J$30:$J$229,'Registro entrevistas'!$F$30:$F$229,B111))),IF(_xlfn.MINIFS('Registro entrevistas'!$J$30:$J$229,'Registro entrevistas'!$F$30:$F$229,B111,'Registro entrevistas'!$I$30:$I$229,"Sí")=0,"",_xlfn.MINIFS('Registro entrevistas'!$J$30:$J$229,'Registro entrevistas'!$F$30:$F$229,B111,'Registro entrevistas'!$I$30:$I$229,"Sí"))))</f>
        <v/>
      </c>
      <c r="F111" s="12" t="n"/>
      <c r="G111" s="12" t="inlineStr">
        <is>
          <t>Sí</t>
        </is>
      </c>
    </row>
    <row r="112" ht="62" customHeight="1">
      <c r="A112" s="12" t="inlineStr">
        <is>
          <t>NIST CSF 2.0</t>
        </is>
      </c>
      <c r="B112" s="12" t="inlineStr">
        <is>
          <t>NIST ID.RA-08</t>
        </is>
      </c>
      <c r="C112" s="12" t="inlineStr">
        <is>
          <t>Recepción de divulgaciones de vulnerabilidades. Qué debe levantar: Verificar que existe un canal público o interno para que terceros reporten vulnerabilidades y un proceso para responderlas.</t>
        </is>
      </c>
      <c r="D112" s="12" t="inlineStr">
        <is>
          <t>Identificar (IDENTIFY)</t>
        </is>
      </c>
      <c r="E112" s="35">
        <f>IF(COUNTIF('Registro entrevistas'!$F$30:$F$229,B112)=0,"",IF(COUNTIFS('Registro entrevistas'!$F$30:$F$229,B112,'Registro entrevistas'!$I$30:$I$229,"Sí")=0,IF(_xlfn.MINIFS('Registro entrevistas'!$J$30:$J$229,'Registro entrevistas'!$F$30:$F$229,B112)=0,"",MIN(3,_xlfn.MINIFS('Registro entrevistas'!$J$30:$J$229,'Registro entrevistas'!$F$30:$F$229,B112))),IF(_xlfn.MINIFS('Registro entrevistas'!$J$30:$J$229,'Registro entrevistas'!$F$30:$F$229,B112,'Registro entrevistas'!$I$30:$I$229,"Sí")=0,"",_xlfn.MINIFS('Registro entrevistas'!$J$30:$J$229,'Registro entrevistas'!$F$30:$F$229,B112,'Registro entrevistas'!$I$30:$I$229,"Sí"))))</f>
        <v/>
      </c>
      <c r="F112" s="12" t="n"/>
      <c r="G112" s="12" t="inlineStr">
        <is>
          <t>Sí</t>
        </is>
      </c>
    </row>
    <row r="113" ht="62" customHeight="1">
      <c r="A113" s="12" t="inlineStr">
        <is>
          <t>NIST CSF 2.0</t>
        </is>
      </c>
      <c r="B113" s="12" t="inlineStr">
        <is>
          <t>NIST PR.AA-01</t>
        </is>
      </c>
      <c r="C113" s="12" t="inlineStr">
        <is>
          <t>Gestión de identidades y credenciales. Qué debe levantar: Verificar que el alta, cambio y baja de usuarios, servicios y equipos se hacen con procedimiento y registro.</t>
        </is>
      </c>
      <c r="D113" s="12" t="inlineStr">
        <is>
          <t>Proteger (PROTECT)</t>
        </is>
      </c>
      <c r="E113" s="35">
        <f>IF(COUNTIF('Registro entrevistas'!$F$30:$F$229,B113)=0,"",IF(COUNTIFS('Registro entrevistas'!$F$30:$F$229,B113,'Registro entrevistas'!$I$30:$I$229,"Sí")=0,IF(_xlfn.MINIFS('Registro entrevistas'!$J$30:$J$229,'Registro entrevistas'!$F$30:$F$229,B113)=0,"",MIN(3,_xlfn.MINIFS('Registro entrevistas'!$J$30:$J$229,'Registro entrevistas'!$F$30:$F$229,B113))),IF(_xlfn.MINIFS('Registro entrevistas'!$J$30:$J$229,'Registro entrevistas'!$F$30:$F$229,B113,'Registro entrevistas'!$I$30:$I$229,"Sí")=0,"",_xlfn.MINIFS('Registro entrevistas'!$J$30:$J$229,'Registro entrevistas'!$F$30:$F$229,B113,'Registro entrevistas'!$I$30:$I$229,"Sí"))))</f>
        <v/>
      </c>
      <c r="F113" s="12" t="n"/>
      <c r="G113" s="12" t="inlineStr">
        <is>
          <t>Sí</t>
        </is>
      </c>
    </row>
    <row r="114" ht="62" customHeight="1">
      <c r="A114" s="12" t="inlineStr">
        <is>
          <t>NIST CSF 2.0</t>
        </is>
      </c>
      <c r="B114" s="12" t="inlineStr">
        <is>
          <t>NIST PR.AA-02</t>
        </is>
      </c>
      <c r="C114" s="12" t="inlineStr">
        <is>
          <t>Verificación de identidades. Qué debe levantar: Verificar que la identidad de cada usuario se confirma antes de entregar acceso (por ejemplo, con cédula o contrato).</t>
        </is>
      </c>
      <c r="D114" s="12" t="inlineStr">
        <is>
          <t>Proteger (PROTECT)</t>
        </is>
      </c>
      <c r="E114" s="35">
        <f>IF(COUNTIF('Registro entrevistas'!$F$30:$F$229,B114)=0,"",IF(COUNTIFS('Registro entrevistas'!$F$30:$F$229,B114,'Registro entrevistas'!$I$30:$I$229,"Sí")=0,IF(_xlfn.MINIFS('Registro entrevistas'!$J$30:$J$229,'Registro entrevistas'!$F$30:$F$229,B114)=0,"",MIN(3,_xlfn.MINIFS('Registro entrevistas'!$J$30:$J$229,'Registro entrevistas'!$F$30:$F$229,B114))),IF(_xlfn.MINIFS('Registro entrevistas'!$J$30:$J$229,'Registro entrevistas'!$F$30:$F$229,B114,'Registro entrevistas'!$I$30:$I$229,"Sí")=0,"",_xlfn.MINIFS('Registro entrevistas'!$J$30:$J$229,'Registro entrevistas'!$F$30:$F$229,B114,'Registro entrevistas'!$I$30:$I$229,"Sí"))))</f>
        <v/>
      </c>
      <c r="F114" s="12" t="n"/>
      <c r="G114" s="12" t="inlineStr">
        <is>
          <t>Sí</t>
        </is>
      </c>
    </row>
    <row r="115" ht="62" customHeight="1">
      <c r="A115" s="12" t="inlineStr">
        <is>
          <t>NIST CSF 2.0</t>
        </is>
      </c>
      <c r="B115" s="12" t="inlineStr">
        <is>
          <t>NIST PR.AA-03</t>
        </is>
      </c>
      <c r="C115" s="12" t="inlineStr">
        <is>
          <t>Autenticación de usuarios, servicios y equipos. Qué debe levantar: Verificar que todos los accesos exigen autenticación y que las cuentas de servicio también tienen control.</t>
        </is>
      </c>
      <c r="D115" s="12" t="inlineStr">
        <is>
          <t>Proteger (PROTECT)</t>
        </is>
      </c>
      <c r="E115" s="35">
        <f>IF(COUNTIF('Registro entrevistas'!$F$30:$F$229,B115)=0,"",IF(COUNTIFS('Registro entrevistas'!$F$30:$F$229,B115,'Registro entrevistas'!$I$30:$I$229,"Sí")=0,IF(_xlfn.MINIFS('Registro entrevistas'!$J$30:$J$229,'Registro entrevistas'!$F$30:$F$229,B115)=0,"",MIN(3,_xlfn.MINIFS('Registro entrevistas'!$J$30:$J$229,'Registro entrevistas'!$F$30:$F$229,B115))),IF(_xlfn.MINIFS('Registro entrevistas'!$J$30:$J$229,'Registro entrevistas'!$F$30:$F$229,B115,'Registro entrevistas'!$I$30:$I$229,"Sí")=0,"",_xlfn.MINIFS('Registro entrevistas'!$J$30:$J$229,'Registro entrevistas'!$F$30:$F$229,B115,'Registro entrevistas'!$I$30:$I$229,"Sí"))))</f>
        <v/>
      </c>
      <c r="F115" s="12" t="n"/>
      <c r="G115" s="12" t="inlineStr">
        <is>
          <t>Sí</t>
        </is>
      </c>
    </row>
    <row r="116" ht="62" customHeight="1">
      <c r="A116" s="12" t="inlineStr">
        <is>
          <t>NIST CSF 2.0</t>
        </is>
      </c>
      <c r="B116" s="12" t="inlineStr">
        <is>
          <t>NIST PR.AA-04</t>
        </is>
      </c>
      <c r="C116" s="12" t="inlineStr">
        <is>
          <t>Protección de aserciones de identidad. Qué debe levantar: Verificar que las sesiones y tokens de autenticación se transmiten y almacenan de forma protegida (cifrados, con expiración).</t>
        </is>
      </c>
      <c r="D116" s="12" t="inlineStr">
        <is>
          <t>Proteger (PROTECT)</t>
        </is>
      </c>
      <c r="E116" s="35">
        <f>IF(COUNTIF('Registro entrevistas'!$F$30:$F$229,B116)=0,"",IF(COUNTIFS('Registro entrevistas'!$F$30:$F$229,B116,'Registro entrevistas'!$I$30:$I$229,"Sí")=0,IF(_xlfn.MINIFS('Registro entrevistas'!$J$30:$J$229,'Registro entrevistas'!$F$30:$F$229,B116)=0,"",MIN(3,_xlfn.MINIFS('Registro entrevistas'!$J$30:$J$229,'Registro entrevistas'!$F$30:$F$229,B116))),IF(_xlfn.MINIFS('Registro entrevistas'!$J$30:$J$229,'Registro entrevistas'!$F$30:$F$229,B116,'Registro entrevistas'!$I$30:$I$229,"Sí")=0,"",_xlfn.MINIFS('Registro entrevistas'!$J$30:$J$229,'Registro entrevistas'!$F$30:$F$229,B116,'Registro entrevistas'!$I$30:$I$229,"Sí"))))</f>
        <v/>
      </c>
      <c r="F116" s="12" t="n"/>
      <c r="G116" s="12" t="inlineStr">
        <is>
          <t>Sí</t>
        </is>
      </c>
    </row>
    <row r="117" ht="62" customHeight="1">
      <c r="A117" s="12" t="inlineStr">
        <is>
          <t>NIST CSF 2.0</t>
        </is>
      </c>
      <c r="B117" s="12" t="inlineStr">
        <is>
          <t>NIST PR.AA-05</t>
        </is>
      </c>
      <c r="C117" s="12" t="inlineStr">
        <is>
          <t>Permisos con mínimo privilegio y separación de funciones. Qué debe levantar: Verificar que los permisos se asignan por rol, se revisan periódicamente y no se acumulan sin control.</t>
        </is>
      </c>
      <c r="D117" s="12" t="inlineStr">
        <is>
          <t>Proteger (PROTECT)</t>
        </is>
      </c>
      <c r="E117" s="35">
        <f>IF(COUNTIF('Registro entrevistas'!$F$30:$F$229,B117)=0,"",IF(COUNTIFS('Registro entrevistas'!$F$30:$F$229,B117,'Registro entrevistas'!$I$30:$I$229,"Sí")=0,IF(_xlfn.MINIFS('Registro entrevistas'!$J$30:$J$229,'Registro entrevistas'!$F$30:$F$229,B117)=0,"",MIN(3,_xlfn.MINIFS('Registro entrevistas'!$J$30:$J$229,'Registro entrevistas'!$F$30:$F$229,B117))),IF(_xlfn.MINIFS('Registro entrevistas'!$J$30:$J$229,'Registro entrevistas'!$F$30:$F$229,B117,'Registro entrevistas'!$I$30:$I$229,"Sí")=0,"",_xlfn.MINIFS('Registro entrevistas'!$J$30:$J$229,'Registro entrevistas'!$F$30:$F$229,B117,'Registro entrevistas'!$I$30:$I$229,"Sí"))))</f>
        <v/>
      </c>
      <c r="F117" s="12" t="n"/>
      <c r="G117" s="12" t="inlineStr">
        <is>
          <t>Sí</t>
        </is>
      </c>
    </row>
    <row r="118" ht="62" customHeight="1">
      <c r="A118" s="12" t="inlineStr">
        <is>
          <t>NIST CSF 2.0</t>
        </is>
      </c>
      <c r="B118" s="12" t="inlineStr">
        <is>
          <t>NIST PR.DS-11</t>
        </is>
      </c>
      <c r="C118" s="12" t="inlineStr">
        <is>
          <t>Respaldos de datos. Qué debe levantar: Verificar que existen respaldos periódicos, cifrados, almacenados fuera del sistema principal y con prueba de restauración.</t>
        </is>
      </c>
      <c r="D118" s="12" t="inlineStr">
        <is>
          <t>Proteger (PROTECT)</t>
        </is>
      </c>
      <c r="E118" s="35">
        <f>IF(COUNTIF('Registro entrevistas'!$F$30:$F$229,B118)=0,"",IF(COUNTIFS('Registro entrevistas'!$F$30:$F$229,B118,'Registro entrevistas'!$I$30:$I$229,"Sí")=0,IF(_xlfn.MINIFS('Registro entrevistas'!$J$30:$J$229,'Registro entrevistas'!$F$30:$F$229,B118)=0,"",MIN(3,_xlfn.MINIFS('Registro entrevistas'!$J$30:$J$229,'Registro entrevistas'!$F$30:$F$229,B118))),IF(_xlfn.MINIFS('Registro entrevistas'!$J$30:$J$229,'Registro entrevistas'!$F$30:$F$229,B118,'Registro entrevistas'!$I$30:$I$229,"Sí")=0,"",_xlfn.MINIFS('Registro entrevistas'!$J$30:$J$229,'Registro entrevistas'!$F$30:$F$229,B118,'Registro entrevistas'!$I$30:$I$229,"Sí"))))</f>
        <v/>
      </c>
      <c r="F118" s="12" t="n"/>
      <c r="G118" s="12" t="inlineStr">
        <is>
          <t>Sí</t>
        </is>
      </c>
    </row>
    <row r="119" ht="62" customHeight="1">
      <c r="A119" s="12" t="inlineStr">
        <is>
          <t>NIST CSF 2.0</t>
        </is>
      </c>
      <c r="B119" s="12" t="inlineStr">
        <is>
          <t>NIST PR.PS-01</t>
        </is>
      </c>
      <c r="C119" s="12" t="inlineStr">
        <is>
          <t>Gestión de configuración segura. Qué debe levantar: Verificar que existen configuraciones base (hardening) para servidores, PC y bases de datos, y que se aplican.</t>
        </is>
      </c>
      <c r="D119" s="12" t="inlineStr">
        <is>
          <t>Proteger (PROTECT)</t>
        </is>
      </c>
      <c r="E119" s="35">
        <f>IF(COUNTIF('Registro entrevistas'!$F$30:$F$229,B119)=0,"",IF(COUNTIFS('Registro entrevistas'!$F$30:$F$229,B119,'Registro entrevistas'!$I$30:$I$229,"Sí")=0,IF(_xlfn.MINIFS('Registro entrevistas'!$J$30:$J$229,'Registro entrevistas'!$F$30:$F$229,B119)=0,"",MIN(3,_xlfn.MINIFS('Registro entrevistas'!$J$30:$J$229,'Registro entrevistas'!$F$30:$F$229,B119))),IF(_xlfn.MINIFS('Registro entrevistas'!$J$30:$J$229,'Registro entrevistas'!$F$30:$F$229,B119,'Registro entrevistas'!$I$30:$I$229,"Sí")=0,"",_xlfn.MINIFS('Registro entrevistas'!$J$30:$J$229,'Registro entrevistas'!$F$30:$F$229,B119,'Registro entrevistas'!$I$30:$I$229,"Sí"))))</f>
        <v/>
      </c>
      <c r="F119" s="12" t="n"/>
      <c r="G119" s="12" t="inlineStr">
        <is>
          <t>Sí</t>
        </is>
      </c>
    </row>
    <row r="120" ht="62" customHeight="1">
      <c r="A120" s="12" t="inlineStr">
        <is>
          <t>NIST CSF 2.0</t>
        </is>
      </c>
      <c r="B120" s="12" t="inlineStr">
        <is>
          <t>NIST PR.PS-02</t>
        </is>
      </c>
      <c r="C120" s="12" t="inlineStr">
        <is>
          <t>Software mantenido o retirado según riesgo. Qué debe levantar: Verificar que el software tiene soporte del fabricante y que el software sin soporte se retira o aísla.</t>
        </is>
      </c>
      <c r="D120" s="12" t="inlineStr">
        <is>
          <t>Proteger (PROTECT)</t>
        </is>
      </c>
      <c r="E120" s="35">
        <f>IF(COUNTIF('Registro entrevistas'!$F$30:$F$229,B120)=0,"",IF(COUNTIFS('Registro entrevistas'!$F$30:$F$229,B120,'Registro entrevistas'!$I$30:$I$229,"Sí")=0,IF(_xlfn.MINIFS('Registro entrevistas'!$J$30:$J$229,'Registro entrevistas'!$F$30:$F$229,B120)=0,"",MIN(3,_xlfn.MINIFS('Registro entrevistas'!$J$30:$J$229,'Registro entrevistas'!$F$30:$F$229,B120))),IF(_xlfn.MINIFS('Registro entrevistas'!$J$30:$J$229,'Registro entrevistas'!$F$30:$F$229,B120,'Registro entrevistas'!$I$30:$I$229,"Sí")=0,"",_xlfn.MINIFS('Registro entrevistas'!$J$30:$J$229,'Registro entrevistas'!$F$30:$F$229,B120,'Registro entrevistas'!$I$30:$I$229,"Sí"))))</f>
        <v/>
      </c>
      <c r="F120" s="12" t="n"/>
      <c r="G120" s="12" t="inlineStr">
        <is>
          <t>Sí</t>
        </is>
      </c>
    </row>
    <row r="121" ht="62" customHeight="1">
      <c r="A121" s="12" t="inlineStr">
        <is>
          <t>NIST CSF 2.0</t>
        </is>
      </c>
      <c r="B121" s="12" t="inlineStr">
        <is>
          <t>NIST PR.PS-03</t>
        </is>
      </c>
      <c r="C121" s="12" t="inlineStr">
        <is>
          <t>Hardware mantenido o retirado según riesgo. Qué debe levantar: Verificar que los equipos sin soporte o con falla se reemplazan según plan y que el retiro es seguro.</t>
        </is>
      </c>
      <c r="D121" s="12" t="inlineStr">
        <is>
          <t>Proteger (PROTECT)</t>
        </is>
      </c>
      <c r="E121" s="35">
        <f>IF(COUNTIF('Registro entrevistas'!$F$30:$F$229,B121)=0,"",IF(COUNTIFS('Registro entrevistas'!$F$30:$F$229,B121,'Registro entrevistas'!$I$30:$I$229,"Sí")=0,IF(_xlfn.MINIFS('Registro entrevistas'!$J$30:$J$229,'Registro entrevistas'!$F$30:$F$229,B121)=0,"",MIN(3,_xlfn.MINIFS('Registro entrevistas'!$J$30:$J$229,'Registro entrevistas'!$F$30:$F$229,B121))),IF(_xlfn.MINIFS('Registro entrevistas'!$J$30:$J$229,'Registro entrevistas'!$F$30:$F$229,B121,'Registro entrevistas'!$I$30:$I$229,"Sí")=0,"",_xlfn.MINIFS('Registro entrevistas'!$J$30:$J$229,'Registro entrevistas'!$F$30:$F$229,B121,'Registro entrevistas'!$I$30:$I$229,"Sí"))))</f>
        <v/>
      </c>
      <c r="F121" s="12" t="n"/>
      <c r="G121" s="12" t="inlineStr">
        <is>
          <t>Sí</t>
        </is>
      </c>
    </row>
    <row r="122" ht="62" customHeight="1">
      <c r="A122" s="12" t="inlineStr">
        <is>
          <t>NIST CSF 2.0</t>
        </is>
      </c>
      <c r="B122" s="12" t="inlineStr">
        <is>
          <t>NIST PR.PS-05</t>
        </is>
      </c>
      <c r="C122" s="12" t="inlineStr">
        <is>
          <t>Prevención de software no autorizado. Qué debe levantar: Verificar que los usuarios no pueden instalar software sin autorización y que existe un listado de software permitido.</t>
        </is>
      </c>
      <c r="D122" s="12" t="inlineStr">
        <is>
          <t>Proteger (PROTECT)</t>
        </is>
      </c>
      <c r="E122" s="35">
        <f>IF(COUNTIF('Registro entrevistas'!$F$30:$F$229,B122)=0,"",IF(COUNTIFS('Registro entrevistas'!$F$30:$F$229,B122,'Registro entrevistas'!$I$30:$I$229,"Sí")=0,IF(_xlfn.MINIFS('Registro entrevistas'!$J$30:$J$229,'Registro entrevistas'!$F$30:$F$229,B122)=0,"",MIN(3,_xlfn.MINIFS('Registro entrevistas'!$J$30:$J$229,'Registro entrevistas'!$F$30:$F$229,B122))),IF(_xlfn.MINIFS('Registro entrevistas'!$J$30:$J$229,'Registro entrevistas'!$F$30:$F$229,B122,'Registro entrevistas'!$I$30:$I$229,"Sí")=0,"",_xlfn.MINIFS('Registro entrevistas'!$J$30:$J$229,'Registro entrevistas'!$F$30:$F$229,B122,'Registro entrevistas'!$I$30:$I$229,"Sí"))))</f>
        <v/>
      </c>
      <c r="F122" s="12" t="n"/>
      <c r="G122" s="12" t="inlineStr">
        <is>
          <t>Sí</t>
        </is>
      </c>
    </row>
    <row r="123" ht="62" customHeight="1">
      <c r="A123" s="12" t="inlineStr">
        <is>
          <t>NIST CSF 2.0</t>
        </is>
      </c>
      <c r="B123" s="12" t="inlineStr">
        <is>
          <t>NIST RS.MA-01</t>
        </is>
      </c>
      <c r="C123" s="12" t="inlineStr">
        <is>
          <t>Plan de respuesta ejecutado con terceros. Qué debe levantar: Verificar que el plan de respuesta incluye a proveedores clave (hosting, pagos, SOC) y sus contactos.</t>
        </is>
      </c>
      <c r="D123" s="12" t="inlineStr">
        <is>
          <t>Responder (RESPOND)</t>
        </is>
      </c>
      <c r="E123" s="35">
        <f>IF(COUNTIF('Registro entrevistas'!$F$30:$F$229,B123)=0,"",IF(COUNTIFS('Registro entrevistas'!$F$30:$F$229,B123,'Registro entrevistas'!$I$30:$I$229,"Sí")=0,IF(_xlfn.MINIFS('Registro entrevistas'!$J$30:$J$229,'Registro entrevistas'!$F$30:$F$229,B123)=0,"",MIN(3,_xlfn.MINIFS('Registro entrevistas'!$J$30:$J$229,'Registro entrevistas'!$F$30:$F$229,B123))),IF(_xlfn.MINIFS('Registro entrevistas'!$J$30:$J$229,'Registro entrevistas'!$F$30:$F$229,B123,'Registro entrevistas'!$I$30:$I$229,"Sí")=0,"",_xlfn.MINIFS('Registro entrevistas'!$J$30:$J$229,'Registro entrevistas'!$F$30:$F$229,B123,'Registro entrevistas'!$I$30:$I$229,"Sí"))))</f>
        <v/>
      </c>
      <c r="F123" s="12" t="n"/>
      <c r="G123" s="12" t="inlineStr">
        <is>
          <t>Sí</t>
        </is>
      </c>
    </row>
    <row r="124" ht="62" customHeight="1">
      <c r="A124" s="12" t="inlineStr">
        <is>
          <t>NIST CSF 2.0</t>
        </is>
      </c>
      <c r="B124" s="12" t="inlineStr">
        <is>
          <t>NIST RS.MA-02</t>
        </is>
      </c>
      <c r="C124" s="12" t="inlineStr">
        <is>
          <t>Reportes de incidentes clasificados y validados. Qué debe levantar: Verificar que cada reporte de incidente se clasifica y se confirma antes de actuar.</t>
        </is>
      </c>
      <c r="D124" s="12" t="inlineStr">
        <is>
          <t>Responder (RESPOND)</t>
        </is>
      </c>
      <c r="E124" s="35">
        <f>IF(COUNTIF('Registro entrevistas'!$F$30:$F$229,B124)=0,"",IF(COUNTIFS('Registro entrevistas'!$F$30:$F$229,B124,'Registro entrevistas'!$I$30:$I$229,"Sí")=0,IF(_xlfn.MINIFS('Registro entrevistas'!$J$30:$J$229,'Registro entrevistas'!$F$30:$F$229,B124)=0,"",MIN(3,_xlfn.MINIFS('Registro entrevistas'!$J$30:$J$229,'Registro entrevistas'!$F$30:$F$229,B124))),IF(_xlfn.MINIFS('Registro entrevistas'!$J$30:$J$229,'Registro entrevistas'!$F$30:$F$229,B124,'Registro entrevistas'!$I$30:$I$229,"Sí")=0,"",_xlfn.MINIFS('Registro entrevistas'!$J$30:$J$229,'Registro entrevistas'!$F$30:$F$229,B124,'Registro entrevistas'!$I$30:$I$229,"Sí"))))</f>
        <v/>
      </c>
      <c r="F124" s="12" t="n"/>
      <c r="G124" s="12" t="inlineStr">
        <is>
          <t>Sí</t>
        </is>
      </c>
    </row>
    <row r="125" ht="62" customHeight="1">
      <c r="A125" s="12" t="inlineStr">
        <is>
          <t>NIST CSF 2.0</t>
        </is>
      </c>
      <c r="B125" s="12" t="inlineStr">
        <is>
          <t>NIST RS.MA-03</t>
        </is>
      </c>
      <c r="C125" s="12" t="inlineStr">
        <is>
          <t>Incidentes categorizados y priorizados. Qué debe levantar: Verificar que los incidentes tienen categoría y prioridad según criterios escritos.</t>
        </is>
      </c>
      <c r="D125" s="12" t="inlineStr">
        <is>
          <t>Responder (RESPOND)</t>
        </is>
      </c>
      <c r="E125" s="35">
        <f>IF(COUNTIF('Registro entrevistas'!$F$30:$F$229,B125)=0,"",IF(COUNTIFS('Registro entrevistas'!$F$30:$F$229,B125,'Registro entrevistas'!$I$30:$I$229,"Sí")=0,IF(_xlfn.MINIFS('Registro entrevistas'!$J$30:$J$229,'Registro entrevistas'!$F$30:$F$229,B125)=0,"",MIN(3,_xlfn.MINIFS('Registro entrevistas'!$J$30:$J$229,'Registro entrevistas'!$F$30:$F$229,B125))),IF(_xlfn.MINIFS('Registro entrevistas'!$J$30:$J$229,'Registro entrevistas'!$F$30:$F$229,B125,'Registro entrevistas'!$I$30:$I$229,"Sí")=0,"",_xlfn.MINIFS('Registro entrevistas'!$J$30:$J$229,'Registro entrevistas'!$F$30:$F$229,B125,'Registro entrevistas'!$I$30:$I$229,"Sí"))))</f>
        <v/>
      </c>
      <c r="F125" s="12" t="n"/>
      <c r="G125" s="12" t="inlineStr">
        <is>
          <t>Sí</t>
        </is>
      </c>
    </row>
    <row r="126" ht="62" customHeight="1">
      <c r="A126" s="12" t="inlineStr">
        <is>
          <t>NIST CSF 2.0</t>
        </is>
      </c>
      <c r="B126" s="12" t="inlineStr">
        <is>
          <t>NIST RS.MA-04</t>
        </is>
      </c>
      <c r="C126" s="12" t="inlineStr">
        <is>
          <t>Escalamiento de incidentes. Qué debe levantar: Verificar que existen reglas claras de cuándo escalar un incidente a gerencia, legal o al responsable de privacidad.</t>
        </is>
      </c>
      <c r="D126" s="12" t="inlineStr">
        <is>
          <t>Responder (RESPOND)</t>
        </is>
      </c>
      <c r="E126" s="35">
        <f>IF(COUNTIF('Registro entrevistas'!$F$30:$F$229,B126)=0,"",IF(COUNTIFS('Registro entrevistas'!$F$30:$F$229,B126,'Registro entrevistas'!$I$30:$I$229,"Sí")=0,IF(_xlfn.MINIFS('Registro entrevistas'!$J$30:$J$229,'Registro entrevistas'!$F$30:$F$229,B126)=0,"",MIN(3,_xlfn.MINIFS('Registro entrevistas'!$J$30:$J$229,'Registro entrevistas'!$F$30:$F$229,B126))),IF(_xlfn.MINIFS('Registro entrevistas'!$J$30:$J$229,'Registro entrevistas'!$F$30:$F$229,B126,'Registro entrevistas'!$I$30:$I$229,"Sí")=0,"",_xlfn.MINIFS('Registro entrevistas'!$J$30:$J$229,'Registro entrevistas'!$F$30:$F$229,B126,'Registro entrevistas'!$I$30:$I$229,"Sí"))))</f>
        <v/>
      </c>
      <c r="F126" s="12" t="n"/>
      <c r="G126" s="12" t="inlineStr">
        <is>
          <t>Sí</t>
        </is>
      </c>
    </row>
    <row r="127" ht="62" customHeight="1">
      <c r="A127" s="12" t="inlineStr">
        <is>
          <t>NIST CSF 2.0</t>
        </is>
      </c>
      <c r="B127" s="12" t="inlineStr">
        <is>
          <t>NIST RS.MA-05</t>
        </is>
      </c>
      <c r="C127" s="12" t="inlineStr">
        <is>
          <t>Criterios para iniciar la recuperación. Qué debe levantar: Verificar que hay criterios escritos para decidir cuándo se da por terminada la contención y se inicia la recuperación.</t>
        </is>
      </c>
      <c r="D127" s="12" t="inlineStr">
        <is>
          <t>Responder (RESPOND)</t>
        </is>
      </c>
      <c r="E127" s="35">
        <f>IF(COUNTIF('Registro entrevistas'!$F$30:$F$229,B127)=0,"",IF(COUNTIFS('Registro entrevistas'!$F$30:$F$229,B127,'Registro entrevistas'!$I$30:$I$229,"Sí")=0,IF(_xlfn.MINIFS('Registro entrevistas'!$J$30:$J$229,'Registro entrevistas'!$F$30:$F$229,B127)=0,"",MIN(3,_xlfn.MINIFS('Registro entrevistas'!$J$30:$J$229,'Registro entrevistas'!$F$30:$F$229,B127))),IF(_xlfn.MINIFS('Registro entrevistas'!$J$30:$J$229,'Registro entrevistas'!$F$30:$F$229,B127,'Registro entrevistas'!$I$30:$I$229,"Sí")=0,"",_xlfn.MINIFS('Registro entrevistas'!$J$30:$J$229,'Registro entrevistas'!$F$30:$F$229,B127,'Registro entrevistas'!$I$30:$I$229,"Sí"))))</f>
        <v/>
      </c>
      <c r="F127" s="12" t="n"/>
      <c r="G127" s="12" t="inlineStr">
        <is>
          <t>Sí</t>
        </is>
      </c>
    </row>
    <row r="128" ht="62" customHeight="1">
      <c r="A128" s="12" t="inlineStr">
        <is>
          <t>NIST CSF 2.0</t>
        </is>
      </c>
      <c r="B128" s="12" t="inlineStr">
        <is>
          <t>NIST RS.AN-03</t>
        </is>
      </c>
      <c r="C128" s="12" t="inlineStr">
        <is>
          <t>Análisis de causa raíz. Qué debe levantar: Verificar que los incidentes importantes tienen un informe de causa raíz con fecha y responsable.</t>
        </is>
      </c>
      <c r="D128" s="12" t="inlineStr">
        <is>
          <t>Responder (RESPOND)</t>
        </is>
      </c>
      <c r="E128" s="35">
        <f>IF(COUNTIF('Registro entrevistas'!$F$30:$F$229,B128)=0,"",IF(COUNTIFS('Registro entrevistas'!$F$30:$F$229,B128,'Registro entrevistas'!$I$30:$I$229,"Sí")=0,IF(_xlfn.MINIFS('Registro entrevistas'!$J$30:$J$229,'Registro entrevistas'!$F$30:$F$229,B128)=0,"",MIN(3,_xlfn.MINIFS('Registro entrevistas'!$J$30:$J$229,'Registro entrevistas'!$F$30:$F$229,B128))),IF(_xlfn.MINIFS('Registro entrevistas'!$J$30:$J$229,'Registro entrevistas'!$F$30:$F$229,B128,'Registro entrevistas'!$I$30:$I$229,"Sí")=0,"",_xlfn.MINIFS('Registro entrevistas'!$J$30:$J$229,'Registro entrevistas'!$F$30:$F$229,B128,'Registro entrevistas'!$I$30:$I$229,"Sí"))))</f>
        <v/>
      </c>
      <c r="F128" s="12" t="n"/>
      <c r="G128" s="12" t="inlineStr">
        <is>
          <t>Sí</t>
        </is>
      </c>
    </row>
    <row r="129" ht="62" customHeight="1">
      <c r="A129" s="12" t="inlineStr">
        <is>
          <t>NIST CSF 2.0</t>
        </is>
      </c>
      <c r="B129" s="12" t="inlineStr">
        <is>
          <t>NIST RS.AN-06</t>
        </is>
      </c>
      <c r="C129" s="12" t="inlineStr">
        <is>
          <t>Registro de acciones durante la investigación. Qué debe levantar: Verificar que las acciones durante un incidente quedan registradas (quién, qué, cuándo) sin posibilidad de alteración.</t>
        </is>
      </c>
      <c r="D129" s="12" t="inlineStr">
        <is>
          <t>Responder (RESPOND)</t>
        </is>
      </c>
      <c r="E129" s="35">
        <f>IF(COUNTIF('Registro entrevistas'!$F$30:$F$229,B129)=0,"",IF(COUNTIFS('Registro entrevistas'!$F$30:$F$229,B129,'Registro entrevistas'!$I$30:$I$229,"Sí")=0,IF(_xlfn.MINIFS('Registro entrevistas'!$J$30:$J$229,'Registro entrevistas'!$F$30:$F$229,B129)=0,"",MIN(3,_xlfn.MINIFS('Registro entrevistas'!$J$30:$J$229,'Registro entrevistas'!$F$30:$F$229,B129))),IF(_xlfn.MINIFS('Registro entrevistas'!$J$30:$J$229,'Registro entrevistas'!$F$30:$F$229,B129,'Registro entrevistas'!$I$30:$I$229,"Sí")=0,"",_xlfn.MINIFS('Registro entrevistas'!$J$30:$J$229,'Registro entrevistas'!$F$30:$F$229,B129,'Registro entrevistas'!$I$30:$I$229,"Sí"))))</f>
        <v/>
      </c>
      <c r="F129" s="12" t="n"/>
      <c r="G129" s="12" t="inlineStr">
        <is>
          <t>Sí</t>
        </is>
      </c>
    </row>
    <row r="130" ht="62" customHeight="1">
      <c r="A130" s="12" t="inlineStr">
        <is>
          <t>NIST CSF 2.0</t>
        </is>
      </c>
      <c r="B130" s="12" t="inlineStr">
        <is>
          <t>NIST RS.AN-07</t>
        </is>
      </c>
      <c r="C130" s="12" t="inlineStr">
        <is>
          <t>Recolección de datos del incidente. Qué debe levantar: Verificar que se conserva la información del incidente (logs, capturas, correos) con cadena de custodia.</t>
        </is>
      </c>
      <c r="D130" s="12" t="inlineStr">
        <is>
          <t>Responder (RESPOND)</t>
        </is>
      </c>
      <c r="E130" s="35">
        <f>IF(COUNTIF('Registro entrevistas'!$F$30:$F$229,B130)=0,"",IF(COUNTIFS('Registro entrevistas'!$F$30:$F$229,B130,'Registro entrevistas'!$I$30:$I$229,"Sí")=0,IF(_xlfn.MINIFS('Registro entrevistas'!$J$30:$J$229,'Registro entrevistas'!$F$30:$F$229,B130)=0,"",MIN(3,_xlfn.MINIFS('Registro entrevistas'!$J$30:$J$229,'Registro entrevistas'!$F$30:$F$229,B130))),IF(_xlfn.MINIFS('Registro entrevistas'!$J$30:$J$229,'Registro entrevistas'!$F$30:$F$229,B130,'Registro entrevistas'!$I$30:$I$229,"Sí")=0,"",_xlfn.MINIFS('Registro entrevistas'!$J$30:$J$229,'Registro entrevistas'!$F$30:$F$229,B130,'Registro entrevistas'!$I$30:$I$229,"Sí"))))</f>
        <v/>
      </c>
      <c r="F130" s="12" t="n"/>
      <c r="G130" s="12" t="inlineStr">
        <is>
          <t>Sí</t>
        </is>
      </c>
    </row>
    <row r="131" ht="62" customHeight="1">
      <c r="A131" s="12" t="inlineStr">
        <is>
          <t>NIST CSF 2.0</t>
        </is>
      </c>
      <c r="B131" s="12" t="inlineStr">
        <is>
          <t>NIST RS.AN-08</t>
        </is>
      </c>
      <c r="C131" s="12" t="inlineStr">
        <is>
          <t>Estimación de la magnitud del incidente. Qué debe levantar: Verificar que se estima cuántos datos y personas afectó un incidente y que la estimación se valida.</t>
        </is>
      </c>
      <c r="D131" s="12" t="inlineStr">
        <is>
          <t>Responder (RESPOND)</t>
        </is>
      </c>
      <c r="E131" s="35">
        <f>IF(COUNTIF('Registro entrevistas'!$F$30:$F$229,B131)=0,"",IF(COUNTIFS('Registro entrevistas'!$F$30:$F$229,B131,'Registro entrevistas'!$I$30:$I$229,"Sí")=0,IF(_xlfn.MINIFS('Registro entrevistas'!$J$30:$J$229,'Registro entrevistas'!$F$30:$F$229,B131)=0,"",MIN(3,_xlfn.MINIFS('Registro entrevistas'!$J$30:$J$229,'Registro entrevistas'!$F$30:$F$229,B131))),IF(_xlfn.MINIFS('Registro entrevistas'!$J$30:$J$229,'Registro entrevistas'!$F$30:$F$229,B131,'Registro entrevistas'!$I$30:$I$229,"Sí")=0,"",_xlfn.MINIFS('Registro entrevistas'!$J$30:$J$229,'Registro entrevistas'!$F$30:$F$229,B131,'Registro entrevistas'!$I$30:$I$229,"Sí"))))</f>
        <v/>
      </c>
      <c r="F131" s="12" t="n"/>
      <c r="G131" s="12" t="inlineStr">
        <is>
          <t>Sí</t>
        </is>
      </c>
    </row>
    <row r="132" ht="62" customHeight="1">
      <c r="A132" s="12" t="inlineStr">
        <is>
          <t>NIST CSF 2.0</t>
        </is>
      </c>
      <c r="B132" s="12" t="inlineStr">
        <is>
          <t>NIST RS.CO-02</t>
        </is>
      </c>
      <c r="C132" s="12" t="inlineStr">
        <is>
          <t>Notificación a partes interesadas. Qué debe levantar: Verificar que están definidos quiénes deben ser notificados de un incidente (autoridad, titulares, clientes) y cómo.</t>
        </is>
      </c>
      <c r="D132" s="12" t="inlineStr">
        <is>
          <t>Responder (RESPOND)</t>
        </is>
      </c>
      <c r="E132" s="35">
        <f>IF(COUNTIF('Registro entrevistas'!$F$30:$F$229,B132)=0,"",IF(COUNTIFS('Registro entrevistas'!$F$30:$F$229,B132,'Registro entrevistas'!$I$30:$I$229,"Sí")=0,IF(_xlfn.MINIFS('Registro entrevistas'!$J$30:$J$229,'Registro entrevistas'!$F$30:$F$229,B132)=0,"",MIN(3,_xlfn.MINIFS('Registro entrevistas'!$J$30:$J$229,'Registro entrevistas'!$F$30:$F$229,B132))),IF(_xlfn.MINIFS('Registro entrevistas'!$J$30:$J$229,'Registro entrevistas'!$F$30:$F$229,B132,'Registro entrevistas'!$I$30:$I$229,"Sí")=0,"",_xlfn.MINIFS('Registro entrevistas'!$J$30:$J$229,'Registro entrevistas'!$F$30:$F$229,B132,'Registro entrevistas'!$I$30:$I$229,"Sí"))))</f>
        <v/>
      </c>
      <c r="F132" s="12" t="n"/>
      <c r="G132" s="12" t="inlineStr">
        <is>
          <t>Sí</t>
        </is>
      </c>
    </row>
    <row r="133" ht="62" customHeight="1">
      <c r="A133" s="12" t="inlineStr">
        <is>
          <t>NIST CSF 2.0</t>
        </is>
      </c>
      <c r="B133" s="12" t="inlineStr">
        <is>
          <t>NIST RS.CO-03</t>
        </is>
      </c>
      <c r="C133" s="12" t="inlineStr">
        <is>
          <t>Información compartida con partes designadas. Qué debe levantar: Verificar que la información compartida durante un incidente se limita a quienes la necesitan.</t>
        </is>
      </c>
      <c r="D133" s="12" t="inlineStr">
        <is>
          <t>Responder (RESPOND)</t>
        </is>
      </c>
      <c r="E133" s="35">
        <f>IF(COUNTIF('Registro entrevistas'!$F$30:$F$229,B133)=0,"",IF(COUNTIFS('Registro entrevistas'!$F$30:$F$229,B133,'Registro entrevistas'!$I$30:$I$229,"Sí")=0,IF(_xlfn.MINIFS('Registro entrevistas'!$J$30:$J$229,'Registro entrevistas'!$F$30:$F$229,B133)=0,"",MIN(3,_xlfn.MINIFS('Registro entrevistas'!$J$30:$J$229,'Registro entrevistas'!$F$30:$F$229,B133))),IF(_xlfn.MINIFS('Registro entrevistas'!$J$30:$J$229,'Registro entrevistas'!$F$30:$F$229,B133,'Registro entrevistas'!$I$30:$I$229,"Sí")=0,"",_xlfn.MINIFS('Registro entrevistas'!$J$30:$J$229,'Registro entrevistas'!$F$30:$F$229,B133,'Registro entrevistas'!$I$30:$I$229,"Sí"))))</f>
        <v/>
      </c>
      <c r="F133" s="12" t="n"/>
      <c r="G133" s="12" t="inlineStr">
        <is>
          <t>Sí</t>
        </is>
      </c>
    </row>
    <row r="134" ht="62" customHeight="1">
      <c r="A134" s="12" t="inlineStr">
        <is>
          <t>NIST CSF 2.0</t>
        </is>
      </c>
      <c r="B134" s="12" t="inlineStr">
        <is>
          <t>NIST RS.MI-01</t>
        </is>
      </c>
      <c r="C134" s="12" t="inlineStr">
        <is>
          <t>Contención de incidentes. Qué debe levantar: Verificar que existen pasos para aislar sistemas o cuentas comprometidas en un incidente y que se han probado.</t>
        </is>
      </c>
      <c r="D134" s="12" t="inlineStr">
        <is>
          <t>Responder (RESPOND)</t>
        </is>
      </c>
      <c r="E134" s="35">
        <f>IF(COUNTIF('Registro entrevistas'!$F$30:$F$229,B134)=0,"",IF(COUNTIFS('Registro entrevistas'!$F$30:$F$229,B134,'Registro entrevistas'!$I$30:$I$229,"Sí")=0,IF(_xlfn.MINIFS('Registro entrevistas'!$J$30:$J$229,'Registro entrevistas'!$F$30:$F$229,B134)=0,"",MIN(3,_xlfn.MINIFS('Registro entrevistas'!$J$30:$J$229,'Registro entrevistas'!$F$30:$F$229,B134))),IF(_xlfn.MINIFS('Registro entrevistas'!$J$30:$J$229,'Registro entrevistas'!$F$30:$F$229,B134,'Registro entrevistas'!$I$30:$I$229,"Sí")=0,"",_xlfn.MINIFS('Registro entrevistas'!$J$30:$J$229,'Registro entrevistas'!$F$30:$F$229,B134,'Registro entrevistas'!$I$30:$I$229,"Sí"))))</f>
        <v/>
      </c>
      <c r="F134" s="12" t="n"/>
      <c r="G134" s="12" t="inlineStr">
        <is>
          <t>Sí</t>
        </is>
      </c>
    </row>
    <row r="135" ht="62" customHeight="1">
      <c r="A135" s="12" t="inlineStr">
        <is>
          <t>NIST CSF 2.0</t>
        </is>
      </c>
      <c r="B135" s="12" t="inlineStr">
        <is>
          <t>NIST RS.MI-02</t>
        </is>
      </c>
      <c r="C135" s="12" t="inlineStr">
        <is>
          <t>Erradicación de incidentes. Qué debe levantar: Verificar que, tras un incidente, se elimina la causa (malware, cuenta, vulnerabilidad) antes de restablecer el servicio.</t>
        </is>
      </c>
      <c r="D135" s="12" t="inlineStr">
        <is>
          <t>Responder (RESPOND)</t>
        </is>
      </c>
      <c r="E135" s="35">
        <f>IF(COUNTIF('Registro entrevistas'!$F$30:$F$229,B135)=0,"",IF(COUNTIFS('Registro entrevistas'!$F$30:$F$229,B135,'Registro entrevistas'!$I$30:$I$229,"Sí")=0,IF(_xlfn.MINIFS('Registro entrevistas'!$J$30:$J$229,'Registro entrevistas'!$F$30:$F$229,B135)=0,"",MIN(3,_xlfn.MINIFS('Registro entrevistas'!$J$30:$J$229,'Registro entrevistas'!$F$30:$F$229,B135))),IF(_xlfn.MINIFS('Registro entrevistas'!$J$30:$J$229,'Registro entrevistas'!$F$30:$F$229,B135,'Registro entrevistas'!$I$30:$I$229,"Sí")=0,"",_xlfn.MINIFS('Registro entrevistas'!$J$30:$J$229,'Registro entrevistas'!$F$30:$F$229,B135,'Registro entrevistas'!$I$30:$I$229,"Sí"))))</f>
        <v/>
      </c>
      <c r="F135" s="12" t="n"/>
      <c r="G135" s="12" t="inlineStr">
        <is>
          <t>Sí</t>
        </is>
      </c>
    </row>
    <row r="136" ht="62" customHeight="1">
      <c r="A136" s="12" t="inlineStr">
        <is>
          <t>NIST CSF 2.0</t>
        </is>
      </c>
      <c r="B136" s="12" t="inlineStr">
        <is>
          <t>NIST RC.RP-03</t>
        </is>
      </c>
      <c r="C136" s="12" t="inlineStr">
        <is>
          <t>Verificación de integridad de respaldos antes de restaurar. Qué debe levantar: Verificar que los respaldos se validan antes de restaurar datos, para no restaurar archivos dañados o infectados.</t>
        </is>
      </c>
      <c r="D136" s="12" t="inlineStr">
        <is>
          <t>Recuperar (RECOVER)</t>
        </is>
      </c>
      <c r="E136" s="35">
        <f>IF(COUNTIF('Registro entrevistas'!$F$30:$F$229,B136)=0,"",IF(COUNTIFS('Registro entrevistas'!$F$30:$F$229,B136,'Registro entrevistas'!$I$30:$I$229,"Sí")=0,IF(_xlfn.MINIFS('Registro entrevistas'!$J$30:$J$229,'Registro entrevistas'!$F$30:$F$229,B136)=0,"",MIN(3,_xlfn.MINIFS('Registro entrevistas'!$J$30:$J$229,'Registro entrevistas'!$F$30:$F$229,B136))),IF(_xlfn.MINIFS('Registro entrevistas'!$J$30:$J$229,'Registro entrevistas'!$F$30:$F$229,B136,'Registro entrevistas'!$I$30:$I$229,"Sí")=0,"",_xlfn.MINIFS('Registro entrevistas'!$J$30:$J$229,'Registro entrevistas'!$F$30:$F$229,B136,'Registro entrevistas'!$I$30:$I$229,"Sí"))))</f>
        <v/>
      </c>
      <c r="F136" s="12" t="n"/>
      <c r="G136" s="12" t="inlineStr">
        <is>
          <t>Sí</t>
        </is>
      </c>
    </row>
    <row r="137" ht="62" customHeight="1">
      <c r="A137" s="12" t="inlineStr">
        <is>
          <t>CIS Controls v8.1</t>
        </is>
      </c>
      <c r="B137" s="12" t="inlineStr">
        <is>
          <t>CIS 1</t>
        </is>
      </c>
      <c r="C137" s="12" t="inlineStr">
        <is>
          <t>Inventario de activos empresariales. Qué debe levantar: Verificar que existe un inventario de todos los equipos conectados a la red, actualizado y con responsable.</t>
        </is>
      </c>
      <c r="D137" s="12" t="inlineStr">
        <is>
          <t>Controles CIS v8.1</t>
        </is>
      </c>
      <c r="E137" s="35">
        <f>IF(COUNTIF('Registro entrevistas'!$F$30:$F$229,B137)=0,"",IF(COUNTIFS('Registro entrevistas'!$F$30:$F$229,B137,'Registro entrevistas'!$I$30:$I$229,"Sí")=0,IF(_xlfn.MINIFS('Registro entrevistas'!$J$30:$J$229,'Registro entrevistas'!$F$30:$F$229,B137)=0,"",MIN(3,_xlfn.MINIFS('Registro entrevistas'!$J$30:$J$229,'Registro entrevistas'!$F$30:$F$229,B137))),IF(_xlfn.MINIFS('Registro entrevistas'!$J$30:$J$229,'Registro entrevistas'!$F$30:$F$229,B137,'Registro entrevistas'!$I$30:$I$229,"Sí")=0,"",_xlfn.MINIFS('Registro entrevistas'!$J$30:$J$229,'Registro entrevistas'!$F$30:$F$229,B137,'Registro entrevistas'!$I$30:$I$229,"Sí"))))</f>
        <v/>
      </c>
      <c r="F137" s="12" t="n"/>
      <c r="G137" s="12" t="inlineStr">
        <is>
          <t>Sí</t>
        </is>
      </c>
    </row>
    <row r="138" ht="62" customHeight="1">
      <c r="A138" s="12" t="inlineStr">
        <is>
          <t>CIS Controls v8.1</t>
        </is>
      </c>
      <c r="B138" s="12" t="inlineStr">
        <is>
          <t>CIS 2</t>
        </is>
      </c>
      <c r="C138" s="12" t="inlineStr">
        <is>
          <t>Inventario de software. Qué debe levantar: Verificar que existe un inventario de software instalado y que se controla lo que no está autorizado.</t>
        </is>
      </c>
      <c r="D138" s="12" t="inlineStr">
        <is>
          <t>Controles CIS v8.1</t>
        </is>
      </c>
      <c r="E138" s="35">
        <f>IF(COUNTIF('Registro entrevistas'!$F$30:$F$229,B138)=0,"",IF(COUNTIFS('Registro entrevistas'!$F$30:$F$229,B138,'Registro entrevistas'!$I$30:$I$229,"Sí")=0,IF(_xlfn.MINIFS('Registro entrevistas'!$J$30:$J$229,'Registro entrevistas'!$F$30:$F$229,B138)=0,"",MIN(3,_xlfn.MINIFS('Registro entrevistas'!$J$30:$J$229,'Registro entrevistas'!$F$30:$F$229,B138))),IF(_xlfn.MINIFS('Registro entrevistas'!$J$30:$J$229,'Registro entrevistas'!$F$30:$F$229,B138,'Registro entrevistas'!$I$30:$I$229,"Sí")=0,"",_xlfn.MINIFS('Registro entrevistas'!$J$30:$J$229,'Registro entrevistas'!$F$30:$F$229,B138,'Registro entrevistas'!$I$30:$I$229,"Sí"))))</f>
        <v/>
      </c>
      <c r="F138" s="12" t="n"/>
      <c r="G138" s="12" t="inlineStr">
        <is>
          <t>Sí</t>
        </is>
      </c>
    </row>
    <row r="139" ht="62" customHeight="1">
      <c r="A139" s="12" t="inlineStr">
        <is>
          <t>CIS Controls v8.1</t>
        </is>
      </c>
      <c r="B139" s="12" t="inlineStr">
        <is>
          <t>CIS 4</t>
        </is>
      </c>
      <c r="C139" s="12" t="inlineStr">
        <is>
          <t>Configuración segura de activos y software. Qué debe levantar: Verificar que los equipos y software tienen configuración segura documentada y revisada.</t>
        </is>
      </c>
      <c r="D139" s="12" t="inlineStr">
        <is>
          <t>Controles CIS v8.1</t>
        </is>
      </c>
      <c r="E139" s="35">
        <f>IF(COUNTIF('Registro entrevistas'!$F$30:$F$229,B139)=0,"",IF(COUNTIFS('Registro entrevistas'!$F$30:$F$229,B139,'Registro entrevistas'!$I$30:$I$229,"Sí")=0,IF(_xlfn.MINIFS('Registro entrevistas'!$J$30:$J$229,'Registro entrevistas'!$F$30:$F$229,B139)=0,"",MIN(3,_xlfn.MINIFS('Registro entrevistas'!$J$30:$J$229,'Registro entrevistas'!$F$30:$F$229,B139))),IF(_xlfn.MINIFS('Registro entrevistas'!$J$30:$J$229,'Registro entrevistas'!$F$30:$F$229,B139,'Registro entrevistas'!$I$30:$I$229,"Sí")=0,"",_xlfn.MINIFS('Registro entrevistas'!$J$30:$J$229,'Registro entrevistas'!$F$30:$F$229,B139,'Registro entrevistas'!$I$30:$I$229,"Sí"))))</f>
        <v/>
      </c>
      <c r="F139" s="12" t="n"/>
      <c r="G139" s="12" t="inlineStr">
        <is>
          <t>Sí</t>
        </is>
      </c>
    </row>
    <row r="140" ht="62" customHeight="1">
      <c r="A140" s="12" t="inlineStr">
        <is>
          <t>CIS Controls v8.1</t>
        </is>
      </c>
      <c r="B140" s="12" t="inlineStr">
        <is>
          <t>CIS 5</t>
        </is>
      </c>
      <c r="C140" s="12" t="inlineStr">
        <is>
          <t>Gestión de cuentas. Qué debe levantar: Verificar que las cuentas de usuario, administrador y servicio se inventarian, se revisan y se desactivan cuando no se usan.</t>
        </is>
      </c>
      <c r="D140" s="12" t="inlineStr">
        <is>
          <t>Controles CIS v8.1</t>
        </is>
      </c>
      <c r="E140" s="35">
        <f>IF(COUNTIF('Registro entrevistas'!$F$30:$F$229,B140)=0,"",IF(COUNTIFS('Registro entrevistas'!$F$30:$F$229,B140,'Registro entrevistas'!$I$30:$I$229,"Sí")=0,IF(_xlfn.MINIFS('Registro entrevistas'!$J$30:$J$229,'Registro entrevistas'!$F$30:$F$229,B140)=0,"",MIN(3,_xlfn.MINIFS('Registro entrevistas'!$J$30:$J$229,'Registro entrevistas'!$F$30:$F$229,B140))),IF(_xlfn.MINIFS('Registro entrevistas'!$J$30:$J$229,'Registro entrevistas'!$F$30:$F$229,B140,'Registro entrevistas'!$I$30:$I$229,"Sí")=0,"",_xlfn.MINIFS('Registro entrevistas'!$J$30:$J$229,'Registro entrevistas'!$F$30:$F$229,B140,'Registro entrevistas'!$I$30:$I$229,"Sí"))))</f>
        <v/>
      </c>
      <c r="F140" s="12" t="n"/>
      <c r="G140" s="12" t="inlineStr">
        <is>
          <t>Sí</t>
        </is>
      </c>
    </row>
    <row r="141" ht="62" customHeight="1">
      <c r="A141" s="12" t="inlineStr">
        <is>
          <t>CIS Controls v8.1</t>
        </is>
      </c>
      <c r="B141" s="12" t="inlineStr">
        <is>
          <t>CIS 6</t>
        </is>
      </c>
      <c r="C141" s="12" t="inlineStr">
        <is>
          <t>Gestión del control de acceso. Qué debe levantar: Verificar que el acceso a sistemas y datos se otorga según el rol y se revisa periódicamente.</t>
        </is>
      </c>
      <c r="D141" s="12" t="inlineStr">
        <is>
          <t>Controles CIS v8.1</t>
        </is>
      </c>
      <c r="E141" s="35">
        <f>IF(COUNTIF('Registro entrevistas'!$F$30:$F$229,B141)=0,"",IF(COUNTIFS('Registro entrevistas'!$F$30:$F$229,B141,'Registro entrevistas'!$I$30:$I$229,"Sí")=0,IF(_xlfn.MINIFS('Registro entrevistas'!$J$30:$J$229,'Registro entrevistas'!$F$30:$F$229,B141)=0,"",MIN(3,_xlfn.MINIFS('Registro entrevistas'!$J$30:$J$229,'Registro entrevistas'!$F$30:$F$229,B141))),IF(_xlfn.MINIFS('Registro entrevistas'!$J$30:$J$229,'Registro entrevistas'!$F$30:$F$229,B141,'Registro entrevistas'!$I$30:$I$229,"Sí")=0,"",_xlfn.MINIFS('Registro entrevistas'!$J$30:$J$229,'Registro entrevistas'!$F$30:$F$229,B141,'Registro entrevistas'!$I$30:$I$229,"Sí"))))</f>
        <v/>
      </c>
      <c r="F141" s="12" t="n"/>
      <c r="G141" s="12" t="inlineStr">
        <is>
          <t>Sí</t>
        </is>
      </c>
    </row>
    <row r="142" ht="62" customHeight="1">
      <c r="A142" s="12" t="inlineStr">
        <is>
          <t>CIS Controls v8.1</t>
        </is>
      </c>
      <c r="B142" s="12" t="inlineStr">
        <is>
          <t>CIS 7</t>
        </is>
      </c>
      <c r="C142" s="12" t="inlineStr">
        <is>
          <t>Gestión continua de vulnerabilidades. Qué debe levantar: Verificar que se escanea la organización periódicamente y que los hallazgos críticos se corrigen en plazo definido.</t>
        </is>
      </c>
      <c r="D142" s="12" t="inlineStr">
        <is>
          <t>Controles CIS v8.1</t>
        </is>
      </c>
      <c r="E142" s="35">
        <f>IF(COUNTIF('Registro entrevistas'!$F$30:$F$229,B142)=0,"",IF(COUNTIFS('Registro entrevistas'!$F$30:$F$229,B142,'Registro entrevistas'!$I$30:$I$229,"Sí")=0,IF(_xlfn.MINIFS('Registro entrevistas'!$J$30:$J$229,'Registro entrevistas'!$F$30:$F$229,B142)=0,"",MIN(3,_xlfn.MINIFS('Registro entrevistas'!$J$30:$J$229,'Registro entrevistas'!$F$30:$F$229,B142))),IF(_xlfn.MINIFS('Registro entrevistas'!$J$30:$J$229,'Registro entrevistas'!$F$30:$F$229,B142,'Registro entrevistas'!$I$30:$I$229,"Sí")=0,"",_xlfn.MINIFS('Registro entrevistas'!$J$30:$J$229,'Registro entrevistas'!$F$30:$F$229,B142,'Registro entrevistas'!$I$30:$I$229,"Sí"))))</f>
        <v/>
      </c>
      <c r="F142" s="12" t="n"/>
      <c r="G142" s="12" t="inlineStr">
        <is>
          <t>Sí</t>
        </is>
      </c>
    </row>
    <row r="143" ht="62" customHeight="1">
      <c r="A143" s="12" t="inlineStr">
        <is>
          <t>CIS Controls v8.1</t>
        </is>
      </c>
      <c r="B143" s="12" t="inlineStr">
        <is>
          <t>CIS 9</t>
        </is>
      </c>
      <c r="C143" s="12" t="inlineStr">
        <is>
          <t>Protección de correo y navegador. Qué debe levantar: Verificar que el correo y la navegación tienen filtros contra phishing, malware y sitios maliciosos.</t>
        </is>
      </c>
      <c r="D143" s="12" t="inlineStr">
        <is>
          <t>Controles CIS v8.1</t>
        </is>
      </c>
      <c r="E143" s="35">
        <f>IF(COUNTIF('Registro entrevistas'!$F$30:$F$229,B143)=0,"",IF(COUNTIFS('Registro entrevistas'!$F$30:$F$229,B143,'Registro entrevistas'!$I$30:$I$229,"Sí")=0,IF(_xlfn.MINIFS('Registro entrevistas'!$J$30:$J$229,'Registro entrevistas'!$F$30:$F$229,B143)=0,"",MIN(3,_xlfn.MINIFS('Registro entrevistas'!$J$30:$J$229,'Registro entrevistas'!$F$30:$F$229,B143))),IF(_xlfn.MINIFS('Registro entrevistas'!$J$30:$J$229,'Registro entrevistas'!$F$30:$F$229,B143,'Registro entrevistas'!$I$30:$I$229,"Sí")=0,"",_xlfn.MINIFS('Registro entrevistas'!$J$30:$J$229,'Registro entrevistas'!$F$30:$F$229,B143,'Registro entrevistas'!$I$30:$I$229,"Sí"))))</f>
        <v/>
      </c>
      <c r="F143" s="12" t="n"/>
      <c r="G143" s="12" t="inlineStr">
        <is>
          <t>Sí</t>
        </is>
      </c>
    </row>
    <row r="144" ht="62" customHeight="1">
      <c r="A144" s="12" t="inlineStr">
        <is>
          <t>CIS Controls v8.1</t>
        </is>
      </c>
      <c r="B144" s="12" t="inlineStr">
        <is>
          <t>CIS 10</t>
        </is>
      </c>
      <c r="C144" s="12" t="inlineStr">
        <is>
          <t>Defensas contra malware. Qué debe levantar: Verificar que todos los equipos tienen antivirus o EDR activo, actualizado y monitoreado.</t>
        </is>
      </c>
      <c r="D144" s="12" t="inlineStr">
        <is>
          <t>Controles CIS v8.1</t>
        </is>
      </c>
      <c r="E144" s="35">
        <f>IF(COUNTIF('Registro entrevistas'!$F$30:$F$229,B144)=0,"",IF(COUNTIFS('Registro entrevistas'!$F$30:$F$229,B144,'Registro entrevistas'!$I$30:$I$229,"Sí")=0,IF(_xlfn.MINIFS('Registro entrevistas'!$J$30:$J$229,'Registro entrevistas'!$F$30:$F$229,B144)=0,"",MIN(3,_xlfn.MINIFS('Registro entrevistas'!$J$30:$J$229,'Registro entrevistas'!$F$30:$F$229,B144))),IF(_xlfn.MINIFS('Registro entrevistas'!$J$30:$J$229,'Registro entrevistas'!$F$30:$F$229,B144,'Registro entrevistas'!$I$30:$I$229,"Sí")=0,"",_xlfn.MINIFS('Registro entrevistas'!$J$30:$J$229,'Registro entrevistas'!$F$30:$F$229,B144,'Registro entrevistas'!$I$30:$I$229,"Sí"))))</f>
        <v/>
      </c>
      <c r="F144" s="12" t="n"/>
      <c r="G144" s="12" t="inlineStr">
        <is>
          <t>Sí</t>
        </is>
      </c>
    </row>
    <row r="145" ht="62" customHeight="1">
      <c r="A145" s="12" t="inlineStr">
        <is>
          <t>CIS Controls v8.1</t>
        </is>
      </c>
      <c r="B145" s="12" t="inlineStr">
        <is>
          <t>CIS 11</t>
        </is>
      </c>
      <c r="C145" s="12" t="inlineStr">
        <is>
          <t>Recuperación de datos. Qué debe levantar: Verificar que existen respaldos periódicos de datos críticos y que se prueba la recuperación.</t>
        </is>
      </c>
      <c r="D145" s="12" t="inlineStr">
        <is>
          <t>Controles CIS v8.1</t>
        </is>
      </c>
      <c r="E145" s="35">
        <f>IF(COUNTIF('Registro entrevistas'!$F$30:$F$229,B145)=0,"",IF(COUNTIFS('Registro entrevistas'!$F$30:$F$229,B145,'Registro entrevistas'!$I$30:$I$229,"Sí")=0,IF(_xlfn.MINIFS('Registro entrevistas'!$J$30:$J$229,'Registro entrevistas'!$F$30:$F$229,B145)=0,"",MIN(3,_xlfn.MINIFS('Registro entrevistas'!$J$30:$J$229,'Registro entrevistas'!$F$30:$F$229,B145))),IF(_xlfn.MINIFS('Registro entrevistas'!$J$30:$J$229,'Registro entrevistas'!$F$30:$F$229,B145,'Registro entrevistas'!$I$30:$I$229,"Sí")=0,"",_xlfn.MINIFS('Registro entrevistas'!$J$30:$J$229,'Registro entrevistas'!$F$30:$F$229,B145,'Registro entrevistas'!$I$30:$I$229,"Sí"))))</f>
        <v/>
      </c>
      <c r="F145" s="12" t="n"/>
      <c r="G145" s="12" t="inlineStr">
        <is>
          <t>Sí</t>
        </is>
      </c>
    </row>
    <row r="146" ht="62" customHeight="1">
      <c r="A146" s="12" t="inlineStr">
        <is>
          <t>CIS Controls v8.1</t>
        </is>
      </c>
      <c r="B146" s="12" t="inlineStr">
        <is>
          <t>CIS 17</t>
        </is>
      </c>
      <c r="C146" s="12" t="inlineStr">
        <is>
          <t>Gestión de respuesta a incidentes. Qué debe levantar: Verificar que existe un plan de respuesta a incidentes, roles asignados y ejercicios realizados.</t>
        </is>
      </c>
      <c r="D146" s="12" t="inlineStr">
        <is>
          <t>Controles CIS v8.1</t>
        </is>
      </c>
      <c r="E146" s="35">
        <f>IF(COUNTIF('Registro entrevistas'!$F$30:$F$229,B146)=0,"",IF(COUNTIFS('Registro entrevistas'!$F$30:$F$229,B146,'Registro entrevistas'!$I$30:$I$229,"Sí")=0,IF(_xlfn.MINIFS('Registro entrevistas'!$J$30:$J$229,'Registro entrevistas'!$F$30:$F$229,B146)=0,"",MIN(3,_xlfn.MINIFS('Registro entrevistas'!$J$30:$J$229,'Registro entrevistas'!$F$30:$F$229,B146))),IF(_xlfn.MINIFS('Registro entrevistas'!$J$30:$J$229,'Registro entrevistas'!$F$30:$F$229,B146,'Registro entrevistas'!$I$30:$I$229,"Sí")=0,"",_xlfn.MINIFS('Registro entrevistas'!$J$30:$J$229,'Registro entrevistas'!$F$30:$F$229,B146,'Registro entrevistas'!$I$30:$I$229,"Sí"))))</f>
        <v/>
      </c>
      <c r="F146" s="12" t="n"/>
      <c r="G146" s="12" t="inlineStr">
        <is>
          <t>Sí</t>
        </is>
      </c>
    </row>
    <row r="147" ht="62" customHeight="1">
      <c r="A147" s="12" t="inlineStr">
        <is>
          <t>CIS Controls v8.1</t>
        </is>
      </c>
      <c r="B147" s="12" t="inlineStr">
        <is>
          <t>BM-OS</t>
        </is>
      </c>
      <c r="C147" s="12" t="inlineStr">
        <is>
          <t>Benchmark de sistemas operativos. Qué debe levantar: Verificar que los servidores y equipos usan una configuración base de un estándar reconocido (por ejemplo, CIS Benchmark) y que se revisa.</t>
        </is>
      </c>
      <c r="D147" s="12" t="inlineStr">
        <is>
          <t>Benchmarks CIS</t>
        </is>
      </c>
      <c r="E147" s="35">
        <f>IF(COUNTIF('Registro entrevistas'!$F$30:$F$229,B147)=0,"",IF(COUNTIFS('Registro entrevistas'!$F$30:$F$229,B147,'Registro entrevistas'!$I$30:$I$229,"Sí")=0,IF(_xlfn.MINIFS('Registro entrevistas'!$J$30:$J$229,'Registro entrevistas'!$F$30:$F$229,B147)=0,"",MIN(3,_xlfn.MINIFS('Registro entrevistas'!$J$30:$J$229,'Registro entrevistas'!$F$30:$F$229,B147))),IF(_xlfn.MINIFS('Registro entrevistas'!$J$30:$J$229,'Registro entrevistas'!$F$30:$F$229,B147,'Registro entrevistas'!$I$30:$I$229,"Sí")=0,"",_xlfn.MINIFS('Registro entrevistas'!$J$30:$J$229,'Registro entrevistas'!$F$30:$F$229,B147,'Registro entrevistas'!$I$30:$I$229,"Sí"))))</f>
        <v/>
      </c>
      <c r="F147" s="12" t="n"/>
      <c r="G147" s="12" t="inlineStr">
        <is>
          <t>Sí</t>
        </is>
      </c>
    </row>
    <row r="148" ht="62" customHeight="1">
      <c r="A148" s="12" t="inlineStr">
        <is>
          <t>CIS Controls v8.1</t>
        </is>
      </c>
      <c r="B148" s="12" t="inlineStr">
        <is>
          <t>BM-CLOUD</t>
        </is>
      </c>
      <c r="C148" s="12" t="inlineStr">
        <is>
          <t>Benchmark de proveedores de nube. Qué debe levantar: Verificar que las cuentas y servicios en la nube (AWS, Azure, Google u otros) están configurados según un estándar y revisados.</t>
        </is>
      </c>
      <c r="D148" s="12" t="inlineStr">
        <is>
          <t>Benchmarks CIS</t>
        </is>
      </c>
      <c r="E148" s="35">
        <f>IF(COUNTIF('Registro entrevistas'!$F$30:$F$229,B148)=0,"",IF(COUNTIFS('Registro entrevistas'!$F$30:$F$229,B148,'Registro entrevistas'!$I$30:$I$229,"Sí")=0,IF(_xlfn.MINIFS('Registro entrevistas'!$J$30:$J$229,'Registro entrevistas'!$F$30:$F$229,B148)=0,"",MIN(3,_xlfn.MINIFS('Registro entrevistas'!$J$30:$J$229,'Registro entrevistas'!$F$30:$F$229,B148))),IF(_xlfn.MINIFS('Registro entrevistas'!$J$30:$J$229,'Registro entrevistas'!$F$30:$F$229,B148,'Registro entrevistas'!$I$30:$I$229,"Sí")=0,"",_xlfn.MINIFS('Registro entrevistas'!$J$30:$J$229,'Registro entrevistas'!$F$30:$F$229,B148,'Registro entrevistas'!$I$30:$I$229,"Sí"))))</f>
        <v/>
      </c>
      <c r="F148" s="12" t="n"/>
      <c r="G148" s="12" t="inlineStr">
        <is>
          <t>Sí</t>
        </is>
      </c>
    </row>
    <row r="149" ht="62" customHeight="1">
      <c r="A149" s="12" t="inlineStr">
        <is>
          <t>CIS Controls v8.1</t>
        </is>
      </c>
      <c r="B149" s="12" t="inlineStr">
        <is>
          <t>BM-DB</t>
        </is>
      </c>
      <c r="C149" s="12" t="inlineStr">
        <is>
          <t>Benchmark de bases de datos. Qué debe levantar: Verificar que las bases de datos tienen configuración segura: usuarios, cifrado, auditoría y puertos restringidos.</t>
        </is>
      </c>
      <c r="D149" s="12" t="inlineStr">
        <is>
          <t>Benchmarks CIS</t>
        </is>
      </c>
      <c r="E149" s="35">
        <f>IF(COUNTIF('Registro entrevistas'!$F$30:$F$229,B149)=0,"",IF(COUNTIFS('Registro entrevistas'!$F$30:$F$229,B149,'Registro entrevistas'!$I$30:$I$229,"Sí")=0,IF(_xlfn.MINIFS('Registro entrevistas'!$J$30:$J$229,'Registro entrevistas'!$F$30:$F$229,B149)=0,"",MIN(3,_xlfn.MINIFS('Registro entrevistas'!$J$30:$J$229,'Registro entrevistas'!$F$30:$F$229,B149))),IF(_xlfn.MINIFS('Registro entrevistas'!$J$30:$J$229,'Registro entrevistas'!$F$30:$F$229,B149,'Registro entrevistas'!$I$30:$I$229,"Sí")=0,"",_xlfn.MINIFS('Registro entrevistas'!$J$30:$J$229,'Registro entrevistas'!$F$30:$F$229,B149,'Registro entrevistas'!$I$30:$I$229,"Sí"))))</f>
        <v/>
      </c>
      <c r="F149" s="12" t="n"/>
      <c r="G149" s="12" t="inlineStr">
        <is>
          <t>Sí</t>
        </is>
      </c>
    </row>
    <row r="150" ht="62" customHeight="1">
      <c r="A150" s="12" t="inlineStr">
        <is>
          <t>CIS Controls v8.1</t>
        </is>
      </c>
      <c r="B150" s="12" t="inlineStr">
        <is>
          <t>BM-NET</t>
        </is>
      </c>
      <c r="C150" s="12" t="inlineStr">
        <is>
          <t>Benchmark de dispositivos de red. Qué debe levantar: Verificar que firewalls, switches y routers tienen contraseñas, accesos y servicios configurados según un estándar.</t>
        </is>
      </c>
      <c r="D150" s="12" t="inlineStr">
        <is>
          <t>Benchmarks CIS</t>
        </is>
      </c>
      <c r="E150" s="35">
        <f>IF(COUNTIF('Registro entrevistas'!$F$30:$F$229,B150)=0,"",IF(COUNTIFS('Registro entrevistas'!$F$30:$F$229,B150,'Registro entrevistas'!$I$30:$I$229,"Sí")=0,IF(_xlfn.MINIFS('Registro entrevistas'!$J$30:$J$229,'Registro entrevistas'!$F$30:$F$229,B150)=0,"",MIN(3,_xlfn.MINIFS('Registro entrevistas'!$J$30:$J$229,'Registro entrevistas'!$F$30:$F$229,B150))),IF(_xlfn.MINIFS('Registro entrevistas'!$J$30:$J$229,'Registro entrevistas'!$F$30:$F$229,B150,'Registro entrevistas'!$I$30:$I$229,"Sí")=0,"",_xlfn.MINIFS('Registro entrevistas'!$J$30:$J$229,'Registro entrevistas'!$F$30:$F$229,B150,'Registro entrevistas'!$I$30:$I$229,"Sí"))))</f>
        <v/>
      </c>
      <c r="F150" s="12" t="n"/>
      <c r="G150" s="12" t="inlineStr">
        <is>
          <t>Sí</t>
        </is>
      </c>
    </row>
    <row r="151" ht="62" customHeight="1">
      <c r="A151" s="12" t="inlineStr">
        <is>
          <t>CIS Controls v8.1</t>
        </is>
      </c>
      <c r="B151" s="12" t="inlineStr">
        <is>
          <t>BM-CONT</t>
        </is>
      </c>
      <c r="C151" s="12" t="inlineStr">
        <is>
          <t>Benchmark de contenedores y orquestación. Qué debe levantar: Verificar que los contenedores y la orquestación (Docker, Kubernetes) usan imágenes y configuraciones seguras. Aplica solo si hay contenedores.</t>
        </is>
      </c>
      <c r="D151" s="12" t="inlineStr">
        <is>
          <t>Benchmarks CIS</t>
        </is>
      </c>
      <c r="E151" s="35">
        <f>IF(COUNTIF('Registro entrevistas'!$F$30:$F$229,B151)=0,"",IF(COUNTIFS('Registro entrevistas'!$F$30:$F$229,B151,'Registro entrevistas'!$I$30:$I$229,"Sí")=0,IF(_xlfn.MINIFS('Registro entrevistas'!$J$30:$J$229,'Registro entrevistas'!$F$30:$F$229,B151)=0,"",MIN(3,_xlfn.MINIFS('Registro entrevistas'!$J$30:$J$229,'Registro entrevistas'!$F$30:$F$229,B151))),IF(_xlfn.MINIFS('Registro entrevistas'!$J$30:$J$229,'Registro entrevistas'!$F$30:$F$229,B151,'Registro entrevistas'!$I$30:$I$229,"Sí")=0,"",_xlfn.MINIFS('Registro entrevistas'!$J$30:$J$229,'Registro entrevistas'!$F$30:$F$229,B151,'Registro entrevistas'!$I$30:$I$229,"Sí"))))</f>
        <v/>
      </c>
      <c r="F151" s="12" t="n"/>
      <c r="G151" s="12" t="inlineStr">
        <is>
          <t>Sí</t>
        </is>
      </c>
    </row>
    <row r="152" ht="62" customHeight="1">
      <c r="A152" s="12" t="inlineStr">
        <is>
          <t>CIS Controls v8.1</t>
        </is>
      </c>
      <c r="B152" s="12" t="inlineStr">
        <is>
          <t>BM-APP</t>
        </is>
      </c>
      <c r="C152" s="12" t="inlineStr">
        <is>
          <t>Benchmark de aplicaciones y navegadores. Qué debe levantar: Verificar que las aplicaciones y navegadores corporativos tienen configuración segura y actualizada.</t>
        </is>
      </c>
      <c r="D152" s="12" t="inlineStr">
        <is>
          <t>Benchmarks CIS</t>
        </is>
      </c>
      <c r="E152" s="35">
        <f>IF(COUNTIF('Registro entrevistas'!$F$30:$F$229,B152)=0,"",IF(COUNTIFS('Registro entrevistas'!$F$30:$F$229,B152,'Registro entrevistas'!$I$30:$I$229,"Sí")=0,IF(_xlfn.MINIFS('Registro entrevistas'!$J$30:$J$229,'Registro entrevistas'!$F$30:$F$229,B152)=0,"",MIN(3,_xlfn.MINIFS('Registro entrevistas'!$J$30:$J$229,'Registro entrevistas'!$F$30:$F$229,B152))),IF(_xlfn.MINIFS('Registro entrevistas'!$J$30:$J$229,'Registro entrevistas'!$F$30:$F$229,B152,'Registro entrevistas'!$I$30:$I$229,"Sí")=0,"",_xlfn.MINIFS('Registro entrevistas'!$J$30:$J$229,'Registro entrevistas'!$F$30:$F$229,B152,'Registro entrevistas'!$I$30:$I$229,"Sí"))))</f>
        <v/>
      </c>
      <c r="F152" s="12" t="n"/>
      <c r="G152" s="12" t="inlineStr">
        <is>
          <t>Sí</t>
        </is>
      </c>
    </row>
    <row r="153" ht="62" customHeight="1">
      <c r="A153" s="12" t="inlineStr">
        <is>
          <t>CIS Controls v8.1</t>
        </is>
      </c>
      <c r="B153" s="12" t="inlineStr">
        <is>
          <t>BM-M365</t>
        </is>
      </c>
      <c r="C153" s="12" t="inlineStr">
        <is>
          <t>Benchmark de suites de productividad. Qué debe levantar: Verificar que las suites de oficina y correo (Microsoft 365, Google Workspace) tienen MFA, reglas de compartición y auditoría activas.</t>
        </is>
      </c>
      <c r="D153" s="12" t="inlineStr">
        <is>
          <t>Benchmarks CIS</t>
        </is>
      </c>
      <c r="E153" s="35">
        <f>IF(COUNTIF('Registro entrevistas'!$F$30:$F$229,B153)=0,"",IF(COUNTIFS('Registro entrevistas'!$F$30:$F$229,B153,'Registro entrevistas'!$I$30:$I$229,"Sí")=0,IF(_xlfn.MINIFS('Registro entrevistas'!$J$30:$J$229,'Registro entrevistas'!$F$30:$F$229,B153)=0,"",MIN(3,_xlfn.MINIFS('Registro entrevistas'!$J$30:$J$229,'Registro entrevistas'!$F$30:$F$229,B153))),IF(_xlfn.MINIFS('Registro entrevistas'!$J$30:$J$229,'Registro entrevistas'!$F$30:$F$229,B153,'Registro entrevistas'!$I$30:$I$229,"Sí")=0,"",_xlfn.MINIFS('Registro entrevistas'!$J$30:$J$229,'Registro entrevistas'!$F$30:$F$229,B153,'Registro entrevistas'!$I$30:$I$229,"Sí"))))</f>
        <v/>
      </c>
      <c r="F153" s="12" t="n"/>
      <c r="G153" s="12" t="inlineStr">
        <is>
          <t>Sí</t>
        </is>
      </c>
    </row>
    <row r="154" ht="62" customHeight="1">
      <c r="A154" s="12" t="inlineStr">
        <is>
          <t>COBIT 5</t>
        </is>
      </c>
      <c r="B154" s="12" t="inlineStr">
        <is>
          <t>BAI06</t>
        </is>
      </c>
      <c r="C154" s="12" t="inlineStr">
        <is>
          <t>Gestión de cambios. Qué debe levantar: Verificar que los cambios a sistemas se solicitan, evalúan (incluido el impacto en datos personales), aprueban y registran.</t>
        </is>
      </c>
      <c r="D154" s="12" t="inlineStr">
        <is>
          <t>Construir, adquirir e implementar (BAI)</t>
        </is>
      </c>
      <c r="E154" s="35">
        <f>IF(COUNTIF('Registro entrevistas'!$F$30:$F$229,B154)=0,"",IF(COUNTIFS('Registro entrevistas'!$F$30:$F$229,B154,'Registro entrevistas'!$I$30:$I$229,"Sí")=0,IF(_xlfn.MINIFS('Registro entrevistas'!$J$30:$J$229,'Registro entrevistas'!$F$30:$F$229,B154)=0,"",MIN(3,_xlfn.MINIFS('Registro entrevistas'!$J$30:$J$229,'Registro entrevistas'!$F$30:$F$229,B154))),IF(_xlfn.MINIFS('Registro entrevistas'!$J$30:$J$229,'Registro entrevistas'!$F$30:$F$229,B154,'Registro entrevistas'!$I$30:$I$229,"Sí")=0,"",_xlfn.MINIFS('Registro entrevistas'!$J$30:$J$229,'Registro entrevistas'!$F$30:$F$229,B154,'Registro entrevistas'!$I$30:$I$229,"Sí"))))</f>
        <v/>
      </c>
      <c r="F154" s="12" t="n"/>
      <c r="G154" s="12" t="inlineStr">
        <is>
          <t>Sí</t>
        </is>
      </c>
    </row>
    <row r="155" ht="62" customHeight="1">
      <c r="A155" s="12" t="inlineStr">
        <is>
          <t>COBIT 5</t>
        </is>
      </c>
      <c r="B155" s="12" t="inlineStr">
        <is>
          <t>BAI07</t>
        </is>
      </c>
      <c r="C155" s="12" t="inlineStr">
        <is>
          <t>Aceptación del cambio y de la transición. Qué debe levantar: Verificar que un cambio se prueba y se aprueba formalmente antes de pasar a producción, con evidencia.</t>
        </is>
      </c>
      <c r="D155" s="12" t="inlineStr">
        <is>
          <t>Construir, adquirir e implementar (BAI)</t>
        </is>
      </c>
      <c r="E155" s="35">
        <f>IF(COUNTIF('Registro entrevistas'!$F$30:$F$229,B155)=0,"",IF(COUNTIFS('Registro entrevistas'!$F$30:$F$229,B155,'Registro entrevistas'!$I$30:$I$229,"Sí")=0,IF(_xlfn.MINIFS('Registro entrevistas'!$J$30:$J$229,'Registro entrevistas'!$F$30:$F$229,B155)=0,"",MIN(3,_xlfn.MINIFS('Registro entrevistas'!$J$30:$J$229,'Registro entrevistas'!$F$30:$F$229,B155))),IF(_xlfn.MINIFS('Registro entrevistas'!$J$30:$J$229,'Registro entrevistas'!$F$30:$F$229,B155,'Registro entrevistas'!$I$30:$I$229,"Sí")=0,"",_xlfn.MINIFS('Registro entrevistas'!$J$30:$J$229,'Registro entrevistas'!$F$30:$F$229,B155,'Registro entrevistas'!$I$30:$I$229,"Sí"))))</f>
        <v/>
      </c>
      <c r="F155" s="12" t="n"/>
      <c r="G155" s="12" t="inlineStr">
        <is>
          <t>Sí</t>
        </is>
      </c>
    </row>
    <row r="156" ht="62" customHeight="1">
      <c r="A156" s="12" t="inlineStr">
        <is>
          <t>COBIT 5</t>
        </is>
      </c>
      <c r="B156" s="12" t="inlineStr">
        <is>
          <t>BAI09</t>
        </is>
      </c>
      <c r="C156" s="12" t="inlineStr">
        <is>
          <t>Gestión de activos. Qué debe levantar: Verificar que los activos de TI tienen registro, responsable y se dan de baja de forma controlada.</t>
        </is>
      </c>
      <c r="D156" s="12" t="inlineStr">
        <is>
          <t>Construir, adquirir e implementar (BAI)</t>
        </is>
      </c>
      <c r="E156" s="35">
        <f>IF(COUNTIF('Registro entrevistas'!$F$30:$F$229,B156)=0,"",IF(COUNTIFS('Registro entrevistas'!$F$30:$F$229,B156,'Registro entrevistas'!$I$30:$I$229,"Sí")=0,IF(_xlfn.MINIFS('Registro entrevistas'!$J$30:$J$229,'Registro entrevistas'!$F$30:$F$229,B156)=0,"",MIN(3,_xlfn.MINIFS('Registro entrevistas'!$J$30:$J$229,'Registro entrevistas'!$F$30:$F$229,B156))),IF(_xlfn.MINIFS('Registro entrevistas'!$J$30:$J$229,'Registro entrevistas'!$F$30:$F$229,B156,'Registro entrevistas'!$I$30:$I$229,"Sí")=0,"",_xlfn.MINIFS('Registro entrevistas'!$J$30:$J$229,'Registro entrevistas'!$F$30:$F$229,B156,'Registro entrevistas'!$I$30:$I$229,"Sí"))))</f>
        <v/>
      </c>
      <c r="F156" s="12" t="n"/>
      <c r="G156" s="12" t="inlineStr">
        <is>
          <t>Sí</t>
        </is>
      </c>
    </row>
    <row r="157" ht="62" customHeight="1">
      <c r="A157" s="12" t="inlineStr">
        <is>
          <t>COBIT 5</t>
        </is>
      </c>
      <c r="B157" s="12" t="inlineStr">
        <is>
          <t>BAI10</t>
        </is>
      </c>
      <c r="C157" s="12" t="inlineStr">
        <is>
          <t>Gestión de la configuración. Qué debe levantar: Verificar que existe un registro de la configuración de sistemas y que se mantiene actualizado.</t>
        </is>
      </c>
      <c r="D157" s="12" t="inlineStr">
        <is>
          <t>Construir, adquirir e implementar (BAI)</t>
        </is>
      </c>
      <c r="E157" s="35">
        <f>IF(COUNTIF('Registro entrevistas'!$F$30:$F$229,B157)=0,"",IF(COUNTIFS('Registro entrevistas'!$F$30:$F$229,B157,'Registro entrevistas'!$I$30:$I$229,"Sí")=0,IF(_xlfn.MINIFS('Registro entrevistas'!$J$30:$J$229,'Registro entrevistas'!$F$30:$F$229,B157)=0,"",MIN(3,_xlfn.MINIFS('Registro entrevistas'!$J$30:$J$229,'Registro entrevistas'!$F$30:$F$229,B157))),IF(_xlfn.MINIFS('Registro entrevistas'!$J$30:$J$229,'Registro entrevistas'!$F$30:$F$229,B157,'Registro entrevistas'!$I$30:$I$229,"Sí")=0,"",_xlfn.MINIFS('Registro entrevistas'!$J$30:$J$229,'Registro entrevistas'!$F$30:$F$229,B157,'Registro entrevistas'!$I$30:$I$229,"Sí"))))</f>
        <v/>
      </c>
      <c r="F157" s="12" t="n"/>
      <c r="G157" s="12" t="inlineStr">
        <is>
          <t>Sí</t>
        </is>
      </c>
    </row>
    <row r="158" ht="62" customHeight="1">
      <c r="A158" s="12" t="inlineStr">
        <is>
          <t>PCI DSS v4.0.1</t>
        </is>
      </c>
      <c r="B158" s="12" t="inlineStr">
        <is>
          <t>PCI Req 2</t>
        </is>
      </c>
      <c r="C158" s="12" t="inlineStr">
        <is>
          <t>Configuraciones seguras en todos los componentes. Qué debe levantar: Verificar que los POS, servidores y equipos del entorno de pagos usan configuraciones seguras y sin valores por defecto.</t>
        </is>
      </c>
      <c r="D158" s="12" t="inlineStr">
        <is>
          <t>Requisitos PCI DSS v4.0.1</t>
        </is>
      </c>
      <c r="E158" s="35">
        <f>IF(COUNTIF('Registro entrevistas'!$F$30:$F$229,B158)=0,"",IF(COUNTIFS('Registro entrevistas'!$F$30:$F$229,B158,'Registro entrevistas'!$I$30:$I$229,"Sí")=0,IF(_xlfn.MINIFS('Registro entrevistas'!$J$30:$J$229,'Registro entrevistas'!$F$30:$F$229,B158)=0,"",MIN(3,_xlfn.MINIFS('Registro entrevistas'!$J$30:$J$229,'Registro entrevistas'!$F$30:$F$229,B158))),IF(_xlfn.MINIFS('Registro entrevistas'!$J$30:$J$229,'Registro entrevistas'!$F$30:$F$229,B158,'Registro entrevistas'!$I$30:$I$229,"Sí")=0,"",_xlfn.MINIFS('Registro entrevistas'!$J$30:$J$229,'Registro entrevistas'!$F$30:$F$229,B158,'Registro entrevistas'!$I$30:$I$229,"Sí"))))</f>
        <v/>
      </c>
      <c r="F158" s="12" t="n"/>
      <c r="G158" s="12" t="inlineStr">
        <is>
          <t>Sí</t>
        </is>
      </c>
    </row>
    <row r="159" ht="62" customHeight="1">
      <c r="A159" s="12" t="inlineStr">
        <is>
          <t>PCI DSS v4.0.1</t>
        </is>
      </c>
      <c r="B159" s="12" t="inlineStr">
        <is>
          <t>PCI Req 5</t>
        </is>
      </c>
      <c r="C159" s="12" t="inlineStr">
        <is>
          <t>Protección de sistemas contra software malicioso. Qué debe levantar: Verificar que los equipos del entorno de pagos tienen protección contra malware actualizada y monitoreada.</t>
        </is>
      </c>
      <c r="D159" s="12" t="inlineStr">
        <is>
          <t>Requisitos PCI DSS v4.0.1</t>
        </is>
      </c>
      <c r="E159" s="35">
        <f>IF(COUNTIF('Registro entrevistas'!$F$30:$F$229,B159)=0,"",IF(COUNTIFS('Registro entrevistas'!$F$30:$F$229,B159,'Registro entrevistas'!$I$30:$I$229,"Sí")=0,IF(_xlfn.MINIFS('Registro entrevistas'!$J$30:$J$229,'Registro entrevistas'!$F$30:$F$229,B159)=0,"",MIN(3,_xlfn.MINIFS('Registro entrevistas'!$J$30:$J$229,'Registro entrevistas'!$F$30:$F$229,B159))),IF(_xlfn.MINIFS('Registro entrevistas'!$J$30:$J$229,'Registro entrevistas'!$F$30:$F$229,B159,'Registro entrevistas'!$I$30:$I$229,"Sí")=0,"",_xlfn.MINIFS('Registro entrevistas'!$J$30:$J$229,'Registro entrevistas'!$F$30:$F$229,B159,'Registro entrevistas'!$I$30:$I$229,"Sí"))))</f>
        <v/>
      </c>
      <c r="F159" s="12" t="n"/>
      <c r="G159" s="12" t="inlineStr">
        <is>
          <t>Sí</t>
        </is>
      </c>
    </row>
    <row r="160" ht="62" customHeight="1">
      <c r="A160" s="12" t="inlineStr">
        <is>
          <t>PCI DSS v4.0.1</t>
        </is>
      </c>
      <c r="B160" s="12" t="inlineStr">
        <is>
          <t>PCI Req 7</t>
        </is>
      </c>
      <c r="C160" s="12" t="inlineStr">
        <is>
          <t>Acceso restringido según necesidad de saber. Qué debe levantar: Verificar que el acceso a datos de pago se limita a quien lo necesita para su trabajo, con revisión periódica.</t>
        </is>
      </c>
      <c r="D160" s="12" t="inlineStr">
        <is>
          <t>Requisitos PCI DSS v4.0.1</t>
        </is>
      </c>
      <c r="E160" s="35">
        <f>IF(COUNTIF('Registro entrevistas'!$F$30:$F$229,B160)=0,"",IF(COUNTIFS('Registro entrevistas'!$F$30:$F$229,B160,'Registro entrevistas'!$I$30:$I$229,"Sí")=0,IF(_xlfn.MINIFS('Registro entrevistas'!$J$30:$J$229,'Registro entrevistas'!$F$30:$F$229,B160)=0,"",MIN(3,_xlfn.MINIFS('Registro entrevistas'!$J$30:$J$229,'Registro entrevistas'!$F$30:$F$229,B160))),IF(_xlfn.MINIFS('Registro entrevistas'!$J$30:$J$229,'Registro entrevistas'!$F$30:$F$229,B160,'Registro entrevistas'!$I$30:$I$229,"Sí")=0,"",_xlfn.MINIFS('Registro entrevistas'!$J$30:$J$229,'Registro entrevistas'!$F$30:$F$229,B160,'Registro entrevistas'!$I$30:$I$229,"Sí"))))</f>
        <v/>
      </c>
      <c r="F160" s="12" t="n"/>
      <c r="G160" s="12" t="inlineStr">
        <is>
          <t>Sí</t>
        </is>
      </c>
    </row>
    <row r="161" ht="62" customHeight="1">
      <c r="A161" s="12" t="inlineStr">
        <is>
          <t>PCI DSS v4.0.1</t>
        </is>
      </c>
      <c r="B161" s="12" t="inlineStr">
        <is>
          <t>PCI Req 8</t>
        </is>
      </c>
      <c r="C161" s="12" t="inlineStr">
        <is>
          <t>Identificación de usuarios y autenticación del acceso. Qué debe levantar: Verificar que cada usuario tiene identificación única y que el acceso al entorno de pago exige autenticación fuerte.</t>
        </is>
      </c>
      <c r="D161" s="12" t="inlineStr">
        <is>
          <t>Requisitos PCI DSS v4.0.1</t>
        </is>
      </c>
      <c r="E161" s="35">
        <f>IF(COUNTIF('Registro entrevistas'!$F$30:$F$229,B161)=0,"",IF(COUNTIFS('Registro entrevistas'!$F$30:$F$229,B161,'Registro entrevistas'!$I$30:$I$229,"Sí")=0,IF(_xlfn.MINIFS('Registro entrevistas'!$J$30:$J$229,'Registro entrevistas'!$F$30:$F$229,B161)=0,"",MIN(3,_xlfn.MINIFS('Registro entrevistas'!$J$30:$J$229,'Registro entrevistas'!$F$30:$F$229,B161))),IF(_xlfn.MINIFS('Registro entrevistas'!$J$30:$J$229,'Registro entrevistas'!$F$30:$F$229,B161,'Registro entrevistas'!$I$30:$I$229,"Sí")=0,"",_xlfn.MINIFS('Registro entrevistas'!$J$30:$J$229,'Registro entrevistas'!$F$30:$F$229,B161,'Registro entrevistas'!$I$30:$I$229,"Sí"))))</f>
        <v/>
      </c>
      <c r="F161" s="12" t="n"/>
      <c r="G161" s="12" t="inlineStr">
        <is>
          <t>Sí</t>
        </is>
      </c>
    </row>
    <row r="162" ht="62" customHeight="1">
      <c r="A162" s="12" t="inlineStr">
        <is>
          <t>Normativa chilena</t>
        </is>
      </c>
      <c r="B162" s="12" t="inlineStr">
        <is>
          <t>L21.719 Art.14 sexies</t>
        </is>
      </c>
      <c r="C162" s="12" t="inlineStr">
        <is>
          <t>Deber de reportar vulneraciones de seguridad. Qué debe levantar: Verificar que existe un procedimiento para avisar a la autoridad de vulneraciones que afecten datos personales, con plazo definido según el texto oficial.</t>
        </is>
      </c>
      <c r="D162" s="12" t="inlineStr">
        <is>
          <t>Normativa chilena</t>
        </is>
      </c>
      <c r="E162" s="35">
        <f>IF(COUNTIF('Registro entrevistas'!$F$30:$F$229,B162)=0,"",IF(COUNTIFS('Registro entrevistas'!$F$30:$F$229,B162,'Registro entrevistas'!$I$30:$I$229,"Sí")=0,IF(_xlfn.MINIFS('Registro entrevistas'!$J$30:$J$229,'Registro entrevistas'!$F$30:$F$229,B162)=0,"",MIN(3,_xlfn.MINIFS('Registro entrevistas'!$J$30:$J$229,'Registro entrevistas'!$F$30:$F$229,B162))),IF(_xlfn.MINIFS('Registro entrevistas'!$J$30:$J$229,'Registro entrevistas'!$F$30:$F$229,B162,'Registro entrevistas'!$I$30:$I$229,"Sí")=0,"",_xlfn.MINIFS('Registro entrevistas'!$J$30:$J$229,'Registro entrevistas'!$F$30:$F$229,B162,'Registro entrevistas'!$I$30:$I$229,"Sí"))))</f>
        <v/>
      </c>
      <c r="F162" s="12" t="n"/>
      <c r="G162" s="12" t="inlineStr">
        <is>
          <t>Sí</t>
        </is>
      </c>
    </row>
    <row r="163" ht="62" customHeight="1">
      <c r="A163" s="12" t="inlineStr">
        <is>
          <t>Normativa chilena</t>
        </is>
      </c>
      <c r="B163" s="12" t="inlineStr">
        <is>
          <t>L21.719 Art.49</t>
        </is>
      </c>
      <c r="C163" s="12" t="inlineStr">
        <is>
          <t>Modelo de prevención de infracciones. Qué debe levantar: Verificar que existe un modelo documentado para prevenir infracciones (políticas, controles, capacitación y monitoreo).</t>
        </is>
      </c>
      <c r="D163" s="12" t="inlineStr">
        <is>
          <t>Normativa chilena</t>
        </is>
      </c>
      <c r="E163" s="35">
        <f>IF(COUNTIF('Registro entrevistas'!$F$30:$F$229,B163)=0,"",IF(COUNTIFS('Registro entrevistas'!$F$30:$F$229,B163,'Registro entrevistas'!$I$30:$I$229,"Sí")=0,IF(_xlfn.MINIFS('Registro entrevistas'!$J$30:$J$229,'Registro entrevistas'!$F$30:$F$229,B163)=0,"",MIN(3,_xlfn.MINIFS('Registro entrevistas'!$J$30:$J$229,'Registro entrevistas'!$F$30:$F$229,B163))),IF(_xlfn.MINIFS('Registro entrevistas'!$J$30:$J$229,'Registro entrevistas'!$F$30:$F$229,B163,'Registro entrevistas'!$I$30:$I$229,"Sí")=0,"",_xlfn.MINIFS('Registro entrevistas'!$J$30:$J$229,'Registro entrevistas'!$F$30:$F$229,B163,'Registro entrevistas'!$I$30:$I$229,"Sí"))))</f>
        <v/>
      </c>
      <c r="F163" s="12" t="n"/>
      <c r="G163" s="12" t="inlineStr">
        <is>
          <t>Sí</t>
        </is>
      </c>
    </row>
    <row r="164" ht="62" customHeight="1">
      <c r="A164" s="12" t="inlineStr">
        <is>
          <t>Normativa chilena</t>
        </is>
      </c>
      <c r="B164" s="12" t="inlineStr">
        <is>
          <t>L21.719 Art.50</t>
        </is>
      </c>
      <c r="C164" s="12" t="inlineStr">
        <is>
          <t>Atribuciones del delegado de protección de datos. Qué debe levantar: Verificar que el delegado de protección tiene funciones, autoridad y acceso a la dirección definidos por escrito.</t>
        </is>
      </c>
      <c r="D164" s="12" t="inlineStr">
        <is>
          <t>Normativa chilena</t>
        </is>
      </c>
      <c r="E164" s="35">
        <f>IF(COUNTIF('Registro entrevistas'!$F$30:$F$229,B164)=0,"",IF(COUNTIFS('Registro entrevistas'!$F$30:$F$229,B164,'Registro entrevistas'!$I$30:$I$229,"Sí")=0,IF(_xlfn.MINIFS('Registro entrevistas'!$J$30:$J$229,'Registro entrevistas'!$F$30:$F$229,B164)=0,"",MIN(3,_xlfn.MINIFS('Registro entrevistas'!$J$30:$J$229,'Registro entrevistas'!$F$30:$F$229,B164))),IF(_xlfn.MINIFS('Registro entrevistas'!$J$30:$J$229,'Registro entrevistas'!$F$30:$F$229,B164,'Registro entrevistas'!$I$30:$I$229,"Sí")=0,"",_xlfn.MINIFS('Registro entrevistas'!$J$30:$J$229,'Registro entrevistas'!$F$30:$F$229,B164,'Registro entrevistas'!$I$30:$I$229,"Sí"))))</f>
        <v/>
      </c>
      <c r="F164" s="12" t="n"/>
      <c r="G164" s="12" t="inlineStr">
        <is>
          <t>Sí</t>
        </is>
      </c>
    </row>
    <row r="165" ht="62" customHeight="1">
      <c r="A165" s="12" t="inlineStr">
        <is>
          <t>Normativa chilena</t>
        </is>
      </c>
      <c r="B165" s="12" t="inlineStr">
        <is>
          <t>L21.719 Programa adecuación</t>
        </is>
      </c>
      <c r="C165" s="12" t="inlineStr">
        <is>
          <t>Programa de adecuación de la organización. Qué debe levantar: Verificar que existe un plan de adecuación con responsables, fechas y avance a la fecha.</t>
        </is>
      </c>
      <c r="D165" s="12" t="inlineStr">
        <is>
          <t>Normativa chilena</t>
        </is>
      </c>
      <c r="E165" s="35">
        <f>IF(COUNTIF('Registro entrevistas'!$F$30:$F$229,B165)=0,"",IF(COUNTIFS('Registro entrevistas'!$F$30:$F$229,B165,'Registro entrevistas'!$I$30:$I$229,"Sí")=0,IF(_xlfn.MINIFS('Registro entrevistas'!$J$30:$J$229,'Registro entrevistas'!$F$30:$F$229,B165)=0,"",MIN(3,_xlfn.MINIFS('Registro entrevistas'!$J$30:$J$229,'Registro entrevistas'!$F$30:$F$229,B165))),IF(_xlfn.MINIFS('Registro entrevistas'!$J$30:$J$229,'Registro entrevistas'!$F$30:$F$229,B165,'Registro entrevistas'!$I$30:$I$229,"Sí")=0,"",_xlfn.MINIFS('Registro entrevistas'!$J$30:$J$229,'Registro entrevistas'!$F$30:$F$229,B165,'Registro entrevistas'!$I$30:$I$229,"Sí"))))</f>
        <v/>
      </c>
      <c r="F165" s="12" t="n"/>
      <c r="G165" s="12" t="inlineStr">
        <is>
          <t>Sí</t>
        </is>
      </c>
    </row>
    <row r="166" ht="62" customHeight="1">
      <c r="A166" s="12" t="inlineStr">
        <is>
          <t>Normativa chilena</t>
        </is>
      </c>
      <c r="B166" s="12" t="inlineStr">
        <is>
          <t>L21.459 Art.14</t>
        </is>
      </c>
      <c r="C166" s="12" t="inlineStr">
        <is>
          <t>Preservación y custodia de evidencia electrónica. Qué debe levantar: Verificar que la evidencia electrónica de incidentes se conserva íntegra y con custodia.</t>
        </is>
      </c>
      <c r="D166" s="12" t="inlineStr">
        <is>
          <t>Normativa chilena</t>
        </is>
      </c>
      <c r="E166" s="35">
        <f>IF(COUNTIF('Registro entrevistas'!$F$30:$F$229,B166)=0,"",IF(COUNTIFS('Registro entrevistas'!$F$30:$F$229,B166,'Registro entrevistas'!$I$30:$I$229,"Sí")=0,IF(_xlfn.MINIFS('Registro entrevistas'!$J$30:$J$229,'Registro entrevistas'!$F$30:$F$229,B166)=0,"",MIN(3,_xlfn.MINIFS('Registro entrevistas'!$J$30:$J$229,'Registro entrevistas'!$F$30:$F$229,B166))),IF(_xlfn.MINIFS('Registro entrevistas'!$J$30:$J$229,'Registro entrevistas'!$F$30:$F$229,B166,'Registro entrevistas'!$I$30:$I$229,"Sí")=0,"",_xlfn.MINIFS('Registro entrevistas'!$J$30:$J$229,'Registro entrevistas'!$F$30:$F$229,B166,'Registro entrevistas'!$I$30:$I$229,"Sí"))))</f>
        <v/>
      </c>
      <c r="F166" s="12" t="n"/>
      <c r="G166" s="12" t="inlineStr">
        <is>
          <t>Sí</t>
        </is>
      </c>
    </row>
    <row r="167" ht="62" customHeight="1">
      <c r="A167" s="12" t="inlineStr">
        <is>
          <t>Normativa chilena</t>
        </is>
      </c>
      <c r="B167" s="12" t="inlineStr">
        <is>
          <t>L21.459 Art.18 N1</t>
        </is>
      </c>
      <c r="C167" s="12" t="inlineStr">
        <is>
          <t>Preservación provisoria de datos. Qué debe levantar: Verificar que se puede preservar de forma provisoria datos cuando lo requiera una autoridad, sin borrarlos.</t>
        </is>
      </c>
      <c r="D167" s="12" t="inlineStr">
        <is>
          <t>Normativa chilena</t>
        </is>
      </c>
      <c r="E167" s="35">
        <f>IF(COUNTIF('Registro entrevistas'!$F$30:$F$229,B167)=0,"",IF(COUNTIFS('Registro entrevistas'!$F$30:$F$229,B167,'Registro entrevistas'!$I$30:$I$229,"Sí")=0,IF(_xlfn.MINIFS('Registro entrevistas'!$J$30:$J$229,'Registro entrevistas'!$F$30:$F$229,B167)=0,"",MIN(3,_xlfn.MINIFS('Registro entrevistas'!$J$30:$J$229,'Registro entrevistas'!$F$30:$F$229,B167))),IF(_xlfn.MINIFS('Registro entrevistas'!$J$30:$J$229,'Registro entrevistas'!$F$30:$F$229,B167,'Registro entrevistas'!$I$30:$I$229,"Sí")=0,"",_xlfn.MINIFS('Registro entrevistas'!$J$30:$J$229,'Registro entrevistas'!$F$30:$F$229,B167,'Registro entrevistas'!$I$30:$I$229,"Sí"))))</f>
        <v/>
      </c>
      <c r="F167" s="12" t="n"/>
      <c r="G167" s="12" t="inlineStr">
        <is>
          <t>Sí</t>
        </is>
      </c>
    </row>
    <row r="168" ht="62" customHeight="1">
      <c r="A168" s="12" t="inlineStr">
        <is>
          <t>Normativa chilena</t>
        </is>
      </c>
      <c r="B168" s="12" t="inlineStr">
        <is>
          <t>L20.393 Art.4</t>
        </is>
      </c>
      <c r="C168" s="12" t="inlineStr">
        <is>
          <t>Modelo de prevención de delitos vigente. Qué debe levantar: Verificar que existe un modelo de prevención de delitos (incluidos delitos informáticos y de datos) con políticas y controles.</t>
        </is>
      </c>
      <c r="D168" s="12" t="inlineStr">
        <is>
          <t>Normativa chilena</t>
        </is>
      </c>
      <c r="E168" s="35">
        <f>IF(COUNTIF('Registro entrevistas'!$F$30:$F$229,B168)=0,"",IF(COUNTIFS('Registro entrevistas'!$F$30:$F$229,B168,'Registro entrevistas'!$I$30:$I$229,"Sí")=0,IF(_xlfn.MINIFS('Registro entrevistas'!$J$30:$J$229,'Registro entrevistas'!$F$30:$F$229,B168)=0,"",MIN(3,_xlfn.MINIFS('Registro entrevistas'!$J$30:$J$229,'Registro entrevistas'!$F$30:$F$229,B168))),IF(_xlfn.MINIFS('Registro entrevistas'!$J$30:$J$229,'Registro entrevistas'!$F$30:$F$229,B168,'Registro entrevistas'!$I$30:$I$229,"Sí")=0,"",_xlfn.MINIFS('Registro entrevistas'!$J$30:$J$229,'Registro entrevistas'!$F$30:$F$229,B168,'Registro entrevistas'!$I$30:$I$229,"Sí"))))</f>
        <v/>
      </c>
      <c r="F168" s="12" t="n"/>
      <c r="G168" s="12" t="inlineStr">
        <is>
          <t>Sí</t>
        </is>
      </c>
    </row>
    <row r="169" ht="62" customHeight="1">
      <c r="A169" s="12" t="inlineStr">
        <is>
          <t>Normativa chilena</t>
        </is>
      </c>
      <c r="B169" s="12" t="inlineStr">
        <is>
          <t>L20.393 Art.4 N3</t>
        </is>
      </c>
      <c r="C169" s="12" t="inlineStr">
        <is>
          <t>Encargado de prevención de delitos. Qué debe levantar: Verificar que existe una persona designada como encargado de prevención, con autoridad y reporte a la dirección.</t>
        </is>
      </c>
      <c r="D169" s="12" t="inlineStr">
        <is>
          <t>Normativa chilena</t>
        </is>
      </c>
      <c r="E169" s="35">
        <f>IF(COUNTIF('Registro entrevistas'!$F$30:$F$229,B169)=0,"",IF(COUNTIFS('Registro entrevistas'!$F$30:$F$229,B169,'Registro entrevistas'!$I$30:$I$229,"Sí")=0,IF(_xlfn.MINIFS('Registro entrevistas'!$J$30:$J$229,'Registro entrevistas'!$F$30:$F$229,B169)=0,"",MIN(3,_xlfn.MINIFS('Registro entrevistas'!$J$30:$J$229,'Registro entrevistas'!$F$30:$F$229,B169))),IF(_xlfn.MINIFS('Registro entrevistas'!$J$30:$J$229,'Registro entrevistas'!$F$30:$F$229,B169,'Registro entrevistas'!$I$30:$I$229,"Sí")=0,"",_xlfn.MINIFS('Registro entrevistas'!$J$30:$J$229,'Registro entrevistas'!$F$30:$F$229,B169,'Registro entrevistas'!$I$30:$I$229,"Sí"))))</f>
        <v/>
      </c>
      <c r="F169" s="12" t="n"/>
      <c r="G169" s="12" t="inlineStr">
        <is>
          <t>Sí</t>
        </is>
      </c>
    </row>
    <row r="170" ht="62" customHeight="1">
      <c r="A170" s="12" t="inlineStr">
        <is>
          <t>Normativa chilena</t>
        </is>
      </c>
      <c r="B170" s="12" t="inlineStr">
        <is>
          <t>L20.393 Art.4 N2</t>
        </is>
      </c>
      <c r="C170" s="12" t="inlineStr">
        <is>
          <t>Protocolos y procedimientos de control. Qué debe levantar: Verificar que existen protocolos y procedimientos que controlan las actividades de riesgo (por ejemplo, pagos y compras).</t>
        </is>
      </c>
      <c r="D170" s="12" t="inlineStr">
        <is>
          <t>Normativa chilena</t>
        </is>
      </c>
      <c r="E170" s="35">
        <f>IF(COUNTIF('Registro entrevistas'!$F$30:$F$229,B170)=0,"",IF(COUNTIFS('Registro entrevistas'!$F$30:$F$229,B170,'Registro entrevistas'!$I$30:$I$229,"Sí")=0,IF(_xlfn.MINIFS('Registro entrevistas'!$J$30:$J$229,'Registro entrevistas'!$F$30:$F$229,B170)=0,"",MIN(3,_xlfn.MINIFS('Registro entrevistas'!$J$30:$J$229,'Registro entrevistas'!$F$30:$F$229,B170))),IF(_xlfn.MINIFS('Registro entrevistas'!$J$30:$J$229,'Registro entrevistas'!$F$30:$F$229,B170,'Registro entrevistas'!$I$30:$I$229,"Sí")=0,"",_xlfn.MINIFS('Registro entrevistas'!$J$30:$J$229,'Registro entrevistas'!$F$30:$F$229,B170,'Registro entrevistas'!$I$30:$I$229,"Sí"))))</f>
        <v/>
      </c>
      <c r="F170" s="12" t="n"/>
      <c r="G170" s="12" t="inlineStr">
        <is>
          <t>Sí</t>
        </is>
      </c>
    </row>
    <row r="171" ht="62" customHeight="1">
      <c r="A171" s="12" t="inlineStr">
        <is>
          <t>Normativa chilena</t>
        </is>
      </c>
      <c r="B171" s="12" t="inlineStr">
        <is>
          <t>PNCS</t>
        </is>
      </c>
      <c r="C171" s="12" t="inlineStr">
        <is>
          <t>Política Nacional de Ciberseguridad. Qué debe levantar: Verificar que la organización conoce la Política Nacional de Ciberseguridad y la considera en su programa.</t>
        </is>
      </c>
      <c r="D171" s="12" t="inlineStr">
        <is>
          <t>Normativa chilena</t>
        </is>
      </c>
      <c r="E171" s="35">
        <f>IF(COUNTIF('Registro entrevistas'!$F$30:$F$229,B171)=0,"",IF(COUNTIFS('Registro entrevistas'!$F$30:$F$229,B171,'Registro entrevistas'!$I$30:$I$229,"Sí")=0,IF(_xlfn.MINIFS('Registro entrevistas'!$J$30:$J$229,'Registro entrevistas'!$F$30:$F$229,B171)=0,"",MIN(3,_xlfn.MINIFS('Registro entrevistas'!$J$30:$J$229,'Registro entrevistas'!$F$30:$F$229,B171))),IF(_xlfn.MINIFS('Registro entrevistas'!$J$30:$J$229,'Registro entrevistas'!$F$30:$F$229,B171,'Registro entrevistas'!$I$30:$I$229,"Sí")=0,"",_xlfn.MINIFS('Registro entrevistas'!$J$30:$J$229,'Registro entrevistas'!$F$30:$F$229,B171,'Registro entrevistas'!$I$30:$I$229,"Sí"))))</f>
        <v/>
      </c>
      <c r="F171" s="12" t="n"/>
      <c r="G171" s="12" t="inlineStr">
        <is>
          <t>Sí</t>
        </is>
      </c>
    </row>
    <row r="172" ht="62" customHeight="1">
      <c r="A172" s="12" t="inlineStr">
        <is>
          <t>Normativa chilena</t>
        </is>
      </c>
      <c r="B172" s="12" t="inlineStr">
        <is>
          <t>L21.663 Ley de Ciberseguridad</t>
        </is>
      </c>
      <c r="C172" s="12" t="inlineStr">
        <is>
          <t>Ley 21.663 Marco de ciberseguridad. Qué debe levantar: Verificar si la organización está sujeta a la Ley 21.663 (servicios esenciales u operadores de importancia vital) y qué obligaciones de ciberseguridad y de reporte de incidentes le aplican.</t>
        </is>
      </c>
      <c r="D172" s="12" t="inlineStr">
        <is>
          <t>Normativa chilena</t>
        </is>
      </c>
      <c r="E172" s="35">
        <f>IF(COUNTIF('Registro entrevistas'!$F$30:$F$229,B172)=0,"",IF(COUNTIFS('Registro entrevistas'!$F$30:$F$229,B172,'Registro entrevistas'!$I$30:$I$229,"Sí")=0,IF(_xlfn.MINIFS('Registro entrevistas'!$J$30:$J$229,'Registro entrevistas'!$F$30:$F$229,B172)=0,"",MIN(3,_xlfn.MINIFS('Registro entrevistas'!$J$30:$J$229,'Registro entrevistas'!$F$30:$F$229,B172))),IF(_xlfn.MINIFS('Registro entrevistas'!$J$30:$J$229,'Registro entrevistas'!$F$30:$F$229,B172,'Registro entrevistas'!$I$30:$I$229,"Sí")=0,"",_xlfn.MINIFS('Registro entrevistas'!$J$30:$J$229,'Registro entrevistas'!$F$30:$F$229,B172,'Registro entrevistas'!$I$30:$I$229,"Sí"))))</f>
        <v/>
      </c>
      <c r="F172" s="12" t="n"/>
      <c r="G172" s="12" t="inlineStr">
        <is>
          <t>Sí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G172"/>
  <conditionalFormatting sqref="E2:E172">
    <cfRule type="cellIs" priority="1" operator="between" dxfId="0">
      <formula>1</formula>
      <formula>2</formula>
    </cfRule>
    <cfRule type="cellIs" priority="2" operator="equal" dxfId="1">
      <formula>3</formula>
    </cfRule>
    <cfRule type="cellIs" priority="3" operator="between" dxfId="2">
      <formula>4</formula>
      <formula>5</formula>
    </cfRule>
  </conditionalFormatting>
  <dataValidations count="1">
    <dataValidation sqref="E2:E172" showDropDown="0" showInputMessage="0" showErrorMessage="0" allowBlank="1" type="list">
      <formula1>"1,2,3,4,5,N/A"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24" customWidth="1" min="4" max="4"/>
    <col width="30" customWidth="1" min="5" max="5"/>
    <col width="14" customWidth="1" min="6" max="6"/>
    <col width="28" customWidth="1" min="7" max="7"/>
    <col width="30" customWidth="1" min="8" max="8"/>
    <col width="20" customWidth="1" min="9" max="9"/>
    <col width="22" customWidth="1" min="10" max="10"/>
    <col width="28" customWidth="1" min="11" max="11"/>
    <col width="26" customWidth="1" min="12" max="12"/>
    <col width="34" customWidth="1" min="13" max="13"/>
    <col width="22" customWidth="1" min="14" max="14"/>
    <col width="20" customWidth="1" min="15" max="15"/>
    <col width="14" customWidth="1" min="16" max="16"/>
    <col width="16" customWidth="1" min="17" max="17"/>
  </cols>
  <sheetData>
    <row r="1">
      <c r="A1" s="11" t="inlineStr">
        <is>
          <t>ID</t>
        </is>
      </c>
      <c r="B1" s="11" t="inlineStr">
        <is>
          <t>Actividad / Proceso</t>
        </is>
      </c>
      <c r="C1" s="11" t="inlineStr">
        <is>
          <t>Finalidad del Tratamiento</t>
        </is>
      </c>
      <c r="D1" s="11" t="inlineStr">
        <is>
          <t>Base Legal (Art. 13)</t>
        </is>
      </c>
      <c r="E1" s="11" t="inlineStr">
        <is>
          <t>Categorías de Datos</t>
        </is>
      </c>
      <c r="F1" s="11" t="inlineStr">
        <is>
          <t>Datos Sensibles?
(Art. 16)</t>
        </is>
      </c>
      <c r="G1" s="11" t="inlineStr">
        <is>
          <t>Categorías de Titulares</t>
        </is>
      </c>
      <c r="H1" s="11" t="inlineStr">
        <is>
          <t>Destinatarios / Receptores</t>
        </is>
      </c>
      <c r="I1" s="11" t="inlineStr">
        <is>
          <t>Transferencia Internacional</t>
        </is>
      </c>
      <c r="J1" s="11" t="inlineStr">
        <is>
          <t>País / Garantías</t>
        </is>
      </c>
      <c r="K1" s="11" t="inlineStr">
        <is>
          <t>Plazo Conservación</t>
        </is>
      </c>
      <c r="L1" s="11" t="inlineStr">
        <is>
          <t>Base Legal Conservación</t>
        </is>
      </c>
      <c r="M1" s="11" t="inlineStr">
        <is>
          <t>Medidas de Seguridad</t>
        </is>
      </c>
      <c r="N1" s="11" t="inlineStr">
        <is>
          <t>Sistema / Aplicación</t>
        </is>
      </c>
      <c r="O1" s="11" t="inlineStr">
        <is>
          <t>Responsable Interno</t>
        </is>
      </c>
      <c r="P1" s="11" t="inlineStr">
        <is>
          <t>Última Revisión</t>
        </is>
      </c>
      <c r="Q1" s="11" t="inlineStr">
        <is>
          <t>Fuente de los datos</t>
        </is>
      </c>
      <c r="R1" s="11" t="inlineStr">
        <is>
          <t>Cómo se recolectan</t>
        </is>
      </c>
      <c r="S1" s="11" t="inlineStr">
        <is>
          <t>Ubicación del almacenamiento</t>
        </is>
      </c>
      <c r="T1" s="11" t="inlineStr">
        <is>
          <t>Forma de eliminación</t>
        </is>
      </c>
      <c r="U1" s="11" t="inlineStr">
        <is>
          <t>Encargados (proveedores que tratan datos)</t>
        </is>
      </c>
      <c r="V1" s="11" t="inlineStr">
        <is>
          <t>Decisiones automatizadas</t>
        </is>
      </c>
      <c r="W1" s="11" t="inlineStr">
        <is>
          <t>Nivel de riesgo</t>
        </is>
      </c>
      <c r="X1" s="11" t="inlineStr">
        <is>
          <t>Requiere evaluación de impacto (EIPD)</t>
        </is>
      </c>
      <c r="Y1" s="11" t="inlineStr">
        <is>
          <t>Derechos ARCOP que aplican</t>
        </is>
      </c>
      <c r="Z1" s="11" t="inlineStr">
        <is>
          <t>Estado de la actividad</t>
        </is>
      </c>
      <c r="AA1" s="22" t="inlineStr">
        <is>
          <t>Completitud (1 = todos los campos)</t>
        </is>
      </c>
    </row>
    <row r="2">
      <c r="A2" s="36" t="inlineStr">
        <is>
          <t>Info:</t>
        </is>
      </c>
      <c r="B2" s="36" t="n"/>
      <c r="C2" s="36" t="inlineStr">
        <is>
          <t>Una fila por actividad. Todos los campos son obligatorios según Art. 14 bis Ley 21.719.</t>
        </is>
      </c>
      <c r="D2" s="36" t="n"/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37">
        <f>IF(LEFT(A2,4)="RAT-",COUNTA(B2:Z2)/25,"")</f>
        <v/>
      </c>
    </row>
    <row r="3">
      <c r="A3" s="36" t="inlineStr">
        <is>
          <t>RAT-001</t>
        </is>
      </c>
      <c r="B3" s="36" t="inlineStr">
        <is>
          <t>Gestión de clientes y contratos</t>
        </is>
      </c>
      <c r="C3" s="36" t="inlineStr">
        <is>
          <t>Ejecutar relación contractual: facturación, comunicaciones y soporte</t>
        </is>
      </c>
      <c r="D3" s="36" t="inlineStr">
        <is>
          <t>Lit. b — Ejecución de contrato</t>
        </is>
      </c>
      <c r="E3" s="36" t="inlineStr">
        <is>
          <t>Nombre, RUT, dirección, correo, teléfono, datos de facturación</t>
        </is>
      </c>
      <c r="F3" s="36" t="inlineStr">
        <is>
          <t>No</t>
        </is>
      </c>
      <c r="G3" s="36" t="inlineStr">
        <is>
          <t>Clientes personas naturales y contactos de personas jurídicas</t>
        </is>
      </c>
      <c r="H3" s="36" t="inlineStr">
        <is>
          <t>SII (obligación tributaria), proveedores de facturación electrónica</t>
        </is>
      </c>
      <c r="I3" s="36" t="inlineStr">
        <is>
          <t>Sí — SII</t>
        </is>
      </c>
      <c r="J3" s="36" t="inlineStr">
        <is>
          <t>Chile</t>
        </is>
      </c>
      <c r="K3" s="36" t="inlineStr">
        <is>
          <t>6 años desde último documento tributario (Código Tributario)</t>
        </is>
      </c>
      <c r="L3" s="36" t="inlineStr">
        <is>
          <t>Lit. c — Obligación legal</t>
        </is>
      </c>
      <c r="M3" s="36" t="inlineStr">
        <is>
          <t>Cifrado en tránsito y reposo, control de acceso RBAC, backup diario</t>
        </is>
      </c>
      <c r="N3" s="36" t="inlineStr">
        <is>
          <t>CRM / ERP corporativo</t>
        </is>
      </c>
      <c r="O3" s="36" t="inlineStr">
        <is>
          <t>Gerencia Comercial</t>
        </is>
      </c>
      <c r="P3" s="36" t="inlineStr">
        <is>
          <t>01/06/2026</t>
        </is>
      </c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37">
        <f>IF(LEFT(A3,4)="RAT-",COUNTA(B3:Z3)/25,"")</f>
        <v/>
      </c>
    </row>
    <row r="4">
      <c r="A4" s="36" t="inlineStr">
        <is>
          <t>RAT-002</t>
        </is>
      </c>
      <c r="B4" s="36" t="inlineStr">
        <is>
          <t>Gestión de recursos humanos</t>
        </is>
      </c>
      <c r="C4" s="36" t="inlineStr">
        <is>
          <t>Administrar ciclo de vida laboral: contratación, nómina, liquidaciones</t>
        </is>
      </c>
      <c r="D4" s="36" t="inlineStr">
        <is>
          <t>Lit. b — Ejecución de contrato; Lit. c — Obligación legal</t>
        </is>
      </c>
      <c r="E4" s="36" t="inlineStr">
        <is>
          <t>Nombre, RUT, dirección, licencias médicas, datos bancarios, cargas</t>
        </is>
      </c>
      <c r="F4" s="36" t="inlineStr">
        <is>
          <t>Sí — Datos de salud</t>
        </is>
      </c>
      <c r="G4" s="36" t="inlineStr">
        <is>
          <t>Empleados y ex-empleados</t>
        </is>
      </c>
      <c r="H4" s="36" t="inlineStr">
        <is>
          <t>AFP, ISAPRE/FONASA, Inspección del Trabajo, Mutualidades</t>
        </is>
      </c>
      <c r="I4" s="36" t="inlineStr">
        <is>
          <t>Sí — Previred, AFP, ISAPRE</t>
        </is>
      </c>
      <c r="J4" s="36" t="inlineStr">
        <is>
          <t>Chile</t>
        </is>
      </c>
      <c r="K4" s="36" t="inlineStr">
        <is>
          <t>5 años desde desvinculación (Código del Trabajo Art. 510)</t>
        </is>
      </c>
      <c r="L4" s="36" t="inlineStr">
        <is>
          <t>Lit. c — Obligación legal</t>
        </is>
      </c>
      <c r="M4" s="36" t="inlineStr">
        <is>
          <t>Cifrado, acceso restringido RRHH, logs de auditoría</t>
        </is>
      </c>
      <c r="N4" s="36" t="inlineStr">
        <is>
          <t>Sistema RRHH / Payroll</t>
        </is>
      </c>
      <c r="O4" s="36" t="inlineStr">
        <is>
          <t>Gerencia RRHH</t>
        </is>
      </c>
      <c r="P4" s="36" t="inlineStr">
        <is>
          <t>01/06/2026</t>
        </is>
      </c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37">
        <f>IF(LEFT(A4,4)="RAT-",COUNTA(B4:Z4)/25,"")</f>
        <v/>
      </c>
    </row>
    <row r="5">
      <c r="A5" s="36" t="inlineStr">
        <is>
          <t>RAT-003</t>
        </is>
      </c>
      <c r="B5" s="36" t="inlineStr">
        <is>
          <t>Marketing y comunicaciones comerciales</t>
        </is>
      </c>
      <c r="C5" s="36" t="inlineStr">
        <is>
          <t>Envío de newsletter, promociones y actualizaciones de productos</t>
        </is>
      </c>
      <c r="D5" s="36" t="inlineStr">
        <is>
          <t>Lit. a — Consentimiento expreso</t>
        </is>
      </c>
      <c r="E5" s="36" t="inlineStr">
        <is>
          <t>Nombre, correo electrónico, preferencias, historial de interacciones</t>
        </is>
      </c>
      <c r="F5" s="36" t="inlineStr">
        <is>
          <t>No</t>
        </is>
      </c>
      <c r="G5" s="36" t="inlineStr">
        <is>
          <t>Leads, prospectos y clientes con consentimiento</t>
        </is>
      </c>
      <c r="H5" s="36" t="inlineStr">
        <is>
          <t>Plataforma de email marketing (Mailchimp — EE.UU.)</t>
        </is>
      </c>
      <c r="I5" s="36" t="inlineStr">
        <is>
          <t>Sí — Mailchimp / EE.UU.</t>
        </is>
      </c>
      <c r="J5" s="36" t="inlineStr">
        <is>
          <t>EE.UU. — DPA firmado + SCCs</t>
        </is>
      </c>
      <c r="K5" s="36" t="inlineStr">
        <is>
          <t>Hasta revocación del consentimiento + 30 días</t>
        </is>
      </c>
      <c r="L5" s="36" t="inlineStr">
        <is>
          <t>Lit. a — Consentimiento (revocable en cualquier momento)</t>
        </is>
      </c>
      <c r="M5" s="36" t="inlineStr">
        <is>
          <t>Registro de consentimientos con timestamp, opt-out inmediato</t>
        </is>
      </c>
      <c r="N5" s="36" t="inlineStr">
        <is>
          <t>Plataforma email marketing</t>
        </is>
      </c>
      <c r="O5" s="36" t="inlineStr">
        <is>
          <t>Gerencia Marketing</t>
        </is>
      </c>
      <c r="P5" s="36" t="inlineStr">
        <is>
          <t>01/06/2026</t>
        </is>
      </c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37">
        <f>IF(LEFT(A5,4)="RAT-",COUNTA(B5:Z5)/25,"")</f>
        <v/>
      </c>
    </row>
    <row r="6">
      <c r="A6" s="36" t="inlineStr">
        <is>
          <t>RAT-004</t>
        </is>
      </c>
      <c r="B6" s="36" t="inlineStr">
        <is>
          <t>Gestión de proveedores</t>
        </is>
      </c>
      <c r="C6" s="36" t="inlineStr">
        <is>
          <t>Administrar relación con proveedores, pagos y cumplimiento contractual</t>
        </is>
      </c>
      <c r="D6" s="36" t="inlineStr">
        <is>
          <t>Lit. b — Ejecución de contrato</t>
        </is>
      </c>
      <c r="E6" s="36" t="inlineStr">
        <is>
          <t>Nombre del contacto, RUT empresa, correo, teléfono, datos bancarios</t>
        </is>
      </c>
      <c r="F6" s="36" t="inlineStr">
        <is>
          <t>No</t>
        </is>
      </c>
      <c r="G6" s="36" t="inlineStr">
        <is>
          <t>Contactos y representantes de proveedores</t>
        </is>
      </c>
      <c r="H6" s="36" t="inlineStr">
        <is>
          <t>SII, banco para transferencias</t>
        </is>
      </c>
      <c r="I6" s="36" t="inlineStr">
        <is>
          <t>Sí — Bancos</t>
        </is>
      </c>
      <c r="J6" s="36" t="inlineStr">
        <is>
          <t>Chile</t>
        </is>
      </c>
      <c r="K6" s="36" t="inlineStr">
        <is>
          <t>6 años desde último documento tributario</t>
        </is>
      </c>
      <c r="L6" s="36" t="inlineStr">
        <is>
          <t>Lit. c — Obligación legal</t>
        </is>
      </c>
      <c r="M6" s="36" t="inlineStr">
        <is>
          <t>Control de acceso, cifrado datos bancarios, logs de transacciones</t>
        </is>
      </c>
      <c r="N6" s="36" t="inlineStr">
        <is>
          <t>ERP / Sistema de proveedores</t>
        </is>
      </c>
      <c r="O6" s="36" t="inlineStr">
        <is>
          <t>Gerencia de Administración</t>
        </is>
      </c>
      <c r="P6" s="36" t="inlineStr">
        <is>
          <t>01/06/2026</t>
        </is>
      </c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37">
        <f>IF(LEFT(A6,4)="RAT-",COUNTA(B6:Z6)/25,"")</f>
        <v/>
      </c>
    </row>
    <row r="7">
      <c r="A7" s="36" t="inlineStr">
        <is>
          <t>RAT-005</t>
        </is>
      </c>
      <c r="B7" s="36" t="inlineStr">
        <is>
          <t>Seguridad de la información y control de acceso</t>
        </is>
      </c>
      <c r="C7" s="36" t="inlineStr">
        <is>
          <t>Gestionar accesos, registrar actividad y detectar incidentes</t>
        </is>
      </c>
      <c r="D7" s="36" t="inlineStr">
        <is>
          <t>Lit. e — Interés legítimo del responsable</t>
        </is>
      </c>
      <c r="E7" s="36" t="inlineStr">
        <is>
          <t>Nombre de usuario, IP, logs de acceso, acciones en sistemas</t>
        </is>
      </c>
      <c r="F7" s="36" t="inlineStr">
        <is>
          <t>No</t>
        </is>
      </c>
      <c r="G7" s="36" t="inlineStr">
        <is>
          <t>Empleados y contratistas con acceso a sistemas</t>
        </is>
      </c>
      <c r="H7" s="36" t="inlineStr">
        <is>
          <t>Proveedores de SIEM/SOC (si aplica)</t>
        </is>
      </c>
      <c r="I7" s="36" t="inlineStr">
        <is>
          <t>Depende del proveedor</t>
        </is>
      </c>
      <c r="J7" s="36" t="inlineStr">
        <is>
          <t>Según contrato con proveedor</t>
        </is>
      </c>
      <c r="K7" s="36" t="inlineStr">
        <is>
          <t>12 meses (ISO 27001 A.8.15); 3 años para incidentes</t>
        </is>
      </c>
      <c r="L7" s="36" t="inlineStr">
        <is>
          <t>Lit. e — Interés legítimo (seguridad corporativa)</t>
        </is>
      </c>
      <c r="M7" s="36" t="inlineStr">
        <is>
          <t>SIEM, logs cifrados, acceso restringido equipo de seguridad</t>
        </is>
      </c>
      <c r="N7" s="36" t="inlineStr">
        <is>
          <t>SIEM / Sistemas de logging</t>
        </is>
      </c>
      <c r="O7" s="36" t="inlineStr">
        <is>
          <t>CISO / TI</t>
        </is>
      </c>
      <c r="P7" s="36" t="inlineStr">
        <is>
          <t>01/06/2026</t>
        </is>
      </c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37">
        <f>IF(LEFT(A7,4)="RAT-",COUNTA(B7:Z7)/25,"")</f>
        <v/>
      </c>
    </row>
    <row r="8">
      <c r="A8" s="36" t="inlineStr">
        <is>
          <t>RAT-006</t>
        </is>
      </c>
      <c r="B8" s="36" t="inlineStr">
        <is>
          <t>Atención al cliente y ejercicio de derechos ARCOP</t>
        </is>
      </c>
      <c r="C8" s="36" t="inlineStr">
        <is>
          <t>Gestionar solicitudes, reclamos y derechos ARCOP de titulares</t>
        </is>
      </c>
      <c r="D8" s="36" t="inlineStr">
        <is>
          <t>Lit. b — Ejecución de contrato; Lit. c — Obligación legal</t>
        </is>
      </c>
      <c r="E8" s="36" t="inlineStr">
        <is>
          <t>Nombre, correo, teléfono, descripción del requerimiento</t>
        </is>
      </c>
      <c r="F8" s="36" t="inlineStr">
        <is>
          <t>No</t>
        </is>
      </c>
      <c r="G8" s="36" t="inlineStr">
        <is>
          <t>Clientes y titulares que ejercen derechos</t>
        </is>
      </c>
      <c r="H8" s="36" t="inlineStr">
        <is>
          <t>Plataforma de tickets (helpdesk)</t>
        </is>
      </c>
      <c r="I8" s="36" t="inlineStr">
        <is>
          <t>No (proveedor en Chile)</t>
        </is>
      </c>
      <c r="J8" s="36" t="inlineStr">
        <is>
          <t>Chile</t>
        </is>
      </c>
      <c r="K8" s="36" t="inlineStr">
        <is>
          <t>2 años desde cierre; indefinido para solicitudes ARCOP</t>
        </is>
      </c>
      <c r="L8" s="36" t="inlineStr">
        <is>
          <t>Lit. b y Lit. c — Obligación de respuesta Ley 21.719</t>
        </is>
      </c>
      <c r="M8" s="36" t="inlineStr">
        <is>
          <t>Control de acceso, registro de solicitudes ARCOP, trazabilidad</t>
        </is>
      </c>
      <c r="N8" s="36" t="inlineStr">
        <is>
          <t>Sistema de tickets / CRM</t>
        </is>
      </c>
      <c r="O8" s="36" t="inlineStr">
        <is>
          <t>Servicio al Cliente</t>
        </is>
      </c>
      <c r="P8" s="36" t="inlineStr">
        <is>
          <t>01/06/2026</t>
        </is>
      </c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37">
        <f>IF(LEFT(A8,4)="RAT-",COUNTA(B8:Z8)/25,"")</f>
        <v/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AA9" s="38">
        <f>IF(LEFT(A9,4)="RAT-",COUNTA(B9:Z9)/25,"")</f>
        <v/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AA10" s="38">
        <f>IF(LEFT(A10,4)="RAT-",COUNTA(B10:Z10)/25,"")</f>
        <v/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AA11" s="38">
        <f>IF(LEFT(A11,4)="RAT-",COUNTA(B11:Z11)/25,"")</f>
        <v/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AA12" s="38">
        <f>IF(LEFT(A12,4)="RAT-",COUNTA(B12:Z12)/25,"")</f>
        <v/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AA13" s="38">
        <f>IF(LEFT(A13,4)="RAT-",COUNTA(B13:Z13)/25,"")</f>
        <v/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AA14" s="38">
        <f>IF(LEFT(A14,4)="RAT-",COUNTA(B14:Z14)/25,"")</f>
        <v/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AA15" s="38">
        <f>IF(LEFT(A15,4)="RAT-",COUNTA(B15:Z15)/25,"")</f>
        <v/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AA16" s="38">
        <f>IF(LEFT(A16,4)="RAT-",COUNTA(B16:Z16)/25,"")</f>
        <v/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AA17" s="38">
        <f>IF(LEFT(A17,4)="RAT-",COUNTA(B17:Z17)/25,"")</f>
        <v/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AA18" s="38">
        <f>IF(LEFT(A18,4)="RAT-",COUNTA(B18:Z18)/25,"")</f>
        <v/>
      </c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AA19" s="38">
        <f>IF(LEFT(A19,4)="RAT-",COUNTA(B19:Z19)/25,"")</f>
        <v/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AA20" s="38">
        <f>IF(LEFT(A20,4)="RAT-",COUNTA(B20:Z20)/25,"")</f>
        <v/>
      </c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AA21" s="38">
        <f>IF(LEFT(A21,4)="RAT-",COUNTA(B21:Z21)/25,"")</f>
        <v/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AA22" s="38">
        <f>IF(LEFT(A22,4)="RAT-",COUNTA(B22:Z22)/25,"")</f>
        <v/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AA23" s="38">
        <f>IF(LEFT(A23,4)="RAT-",COUNTA(B23:Z23)/25,"")</f>
        <v/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AA24" s="38">
        <f>IF(LEFT(A24,4)="RAT-",COUNTA(B24:Z24)/25,"")</f>
        <v/>
      </c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AA25" s="38">
        <f>IF(LEFT(A25,4)="RAT-",COUNTA(B25:Z25)/25,"")</f>
        <v/>
      </c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AA26" s="38">
        <f>IF(LEFT(A26,4)="RAT-",COUNTA(B26:Z26)/25,"")</f>
        <v/>
      </c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AA27" s="38">
        <f>IF(LEFT(A27,4)="RAT-",COUNTA(B27:Z27)/25,"")</f>
        <v/>
      </c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AA28" s="38">
        <f>IF(LEFT(A28,4)="RAT-",COUNTA(B28:Z28)/25,"")</f>
        <v/>
      </c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AA29" s="38">
        <f>IF(LEFT(A29,4)="RAT-",COUNTA(B29:Z29)/25,"")</f>
        <v/>
      </c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AA30" s="38">
        <f>IF(LEFT(A30,4)="RAT-",COUNTA(B30:Z30)/25,"")</f>
        <v/>
      </c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AA31" s="38">
        <f>IF(LEFT(A31,4)="RAT-",COUNTA(B31:Z31)/25,"")</f>
        <v/>
      </c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AA32" s="38">
        <f>IF(LEFT(A32,4)="RAT-",COUNTA(B32:Z32)/25,"")</f>
        <v/>
      </c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AA33" s="38">
        <f>IF(LEFT(A33,4)="RAT-",COUNTA(B33:Z33)/25,"")</f>
        <v/>
      </c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AA34" s="38">
        <f>IF(LEFT(A34,4)="RAT-",COUNTA(B34:Z34)/25,"")</f>
        <v/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AA35" s="38">
        <f>IF(LEFT(A35,4)="RAT-",COUNTA(B35:Z35)/25,"")</f>
        <v/>
      </c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AA36" s="38">
        <f>IF(LEFT(A36,4)="RAT-",COUNTA(B36:Z36)/25,"")</f>
        <v/>
      </c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AA37" s="38">
        <f>IF(LEFT(A37,4)="RAT-",COUNTA(B37:Z37)/25,"")</f>
        <v/>
      </c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AA38" s="38">
        <f>IF(LEFT(A38,4)="RAT-",COUNTA(B38:Z38)/25,"")</f>
        <v/>
      </c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AA39" s="38">
        <f>IF(LEFT(A39,4)="RAT-",COUNTA(B39:Z39)/25,"")</f>
        <v/>
      </c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AA40" s="38">
        <f>IF(LEFT(A40,4)="RAT-",COUNTA(B40:Z40)/25,"")</f>
        <v/>
      </c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AA41" s="38">
        <f>IF(LEFT(A41,4)="RAT-",COUNTA(B41:Z41)/25,"")</f>
        <v/>
      </c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AA42" s="38">
        <f>IF(LEFT(A42,4)="RAT-",COUNTA(B42:Z42)/25,"")</f>
        <v/>
      </c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AA43" s="38">
        <f>IF(LEFT(A43,4)="RAT-",COUNTA(B43:Z43)/25,"")</f>
        <v/>
      </c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AA44" s="38">
        <f>IF(LEFT(A44,4)="RAT-",COUNTA(B44:Z44)/25,"")</f>
        <v/>
      </c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AA45" s="38">
        <f>IF(LEFT(A45,4)="RAT-",COUNTA(B45:Z45)/25,"")</f>
        <v/>
      </c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AA46" s="38">
        <f>IF(LEFT(A46,4)="RAT-",COUNTA(B46:Z46)/25,"")</f>
        <v/>
      </c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AA47" s="38">
        <f>IF(LEFT(A47,4)="RAT-",COUNTA(B47:Z47)/25,"")</f>
        <v/>
      </c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AA48" s="38">
        <f>IF(LEFT(A48,4)="RAT-",COUNTA(B48:Z48)/25,"")</f>
        <v/>
      </c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AA49" s="38">
        <f>IF(LEFT(A49,4)="RAT-",COUNTA(B49:Z49)/25,"")</f>
        <v/>
      </c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AA50" s="38">
        <f>IF(LEFT(A50,4)="RAT-",COUNTA(B50:Z50)/25,"")</f>
        <v/>
      </c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AA51" s="38">
        <f>IF(LEFT(A51,4)="RAT-",COUNTA(B51:Z51)/25,"")</f>
        <v/>
      </c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AA52" s="38">
        <f>IF(LEFT(A52,4)="RAT-",COUNTA(B52:Z52)/25,"")</f>
        <v/>
      </c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AA53" s="38">
        <f>IF(LEFT(A53,4)="RAT-",COUNTA(B53:Z53)/25,"")</f>
        <v/>
      </c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AA54" s="38">
        <f>IF(LEFT(A54,4)="RAT-",COUNTA(B54:Z54)/25,"")</f>
        <v/>
      </c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AA55" s="38">
        <f>IF(LEFT(A55,4)="RAT-",COUNTA(B55:Z55)/25,"")</f>
        <v/>
      </c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AA56" s="38">
        <f>IF(LEFT(A56,4)="RAT-",COUNTA(B56:Z56)/25,"")</f>
        <v/>
      </c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AA57" s="38">
        <f>IF(LEFT(A57,4)="RAT-",COUNTA(B57:Z57)/25,"")</f>
        <v/>
      </c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AA58" s="38">
        <f>IF(LEFT(A58,4)="RAT-",COUNTA(B58:Z58)/25,"")</f>
        <v/>
      </c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AA59" s="38">
        <f>IF(LEFT(A59,4)="RAT-",COUNTA(B59:Z59)/25,"")</f>
        <v/>
      </c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AA60" s="38">
        <f>IF(LEFT(A60,4)="RAT-",COUNTA(B60:Z60)/25,"")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3">
    <dataValidation sqref="D2:D60" showDropDown="0" showInputMessage="1" showErrorMessage="1" allowBlank="1" errorTitle="Base legal" error="Seleccione una base legal de la lista (Art. 13)." promptTitle="Base legal" prompt="Elija de la lista" type="list" errorStyle="warning">
      <formula1>=Listas!$A$2:$A$7</formula1>
    </dataValidation>
    <dataValidation sqref="F2:F60" showDropDown="0" showInputMessage="1" showErrorMessage="1" allowBlank="1" errorTitle="Datos sensibles" error="Responda Sí o No. Si hay un detalle, escríbalo en la celda como texto." promptTitle="Datos sensibles" prompt="Sí o No" type="list" errorStyle="warning">
      <formula1>=Listas!$D$2:$D$3</formula1>
    </dataValidation>
    <dataValidation sqref="P2:P60" showDropDown="0" showInputMessage="0" showErrorMessage="1" allowBlank="1" errorTitle="Fecha no válida" error="Ingrese una fecha válida (dd/mm/aaaa) entre 2020 y 2035." type="date" errorStyle="warning" operator="between">
      <formula1>43831</formula1>
      <formula2>49674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4" customWidth="1" min="4" max="4"/>
    <col width="16" customWidth="1" min="5" max="5"/>
    <col width="14" customWidth="1" min="6" max="6"/>
    <col width="16" customWidth="1" min="7" max="7"/>
    <col width="50" customWidth="1" min="8" max="8"/>
    <col width="18" customWidth="1" min="9" max="9"/>
  </cols>
  <sheetData>
    <row r="1">
      <c r="A1" s="11" t="inlineStr">
        <is>
          <t>ID</t>
        </is>
      </c>
      <c r="B1" s="11" t="inlineStr">
        <is>
          <t>Titular
(iniciales)</t>
        </is>
      </c>
      <c r="C1" s="11" t="inlineStr">
        <is>
          <t>Tipo de Derecho</t>
        </is>
      </c>
      <c r="D1" s="11" t="inlineStr">
        <is>
          <t>Fecha Recepción</t>
        </is>
      </c>
      <c r="E1" s="11" t="inlineStr">
        <is>
          <t>Fecha Límite
(30 días corridos)</t>
        </is>
      </c>
      <c r="F1" s="11" t="inlineStr">
        <is>
          <t>Fecha Respuesta</t>
        </is>
      </c>
      <c r="G1" s="11" t="inlineStr">
        <is>
          <t>Estado</t>
        </is>
      </c>
      <c r="H1" s="11" t="inlineStr">
        <is>
          <t>Observaciones</t>
        </is>
      </c>
      <c r="I1" s="11" t="inlineStr">
        <is>
          <t>Estado de plazo</t>
        </is>
      </c>
    </row>
    <row r="2">
      <c r="A2" s="36" t="inlineStr">
        <is>
          <t>Plazo legal: 30 días corridos desde la recepción (Art. 22, Ley 21.719). Extensible por 15 días adicionales con notificación escrita al titular.</t>
        </is>
      </c>
      <c r="B2" s="36" t="n"/>
      <c r="C2" s="36" t="n"/>
      <c r="D2" s="36" t="n"/>
      <c r="E2" s="36" t="n"/>
      <c r="F2" s="36" t="n"/>
      <c r="G2" s="36" t="n"/>
      <c r="H2" s="36" t="n"/>
      <c r="I2" s="6">
        <f>IF(LEFT(A2,4)="ARC-",IF(ISNUMBER(F2),IF(F2&lt;=E2,"A tiempo","Fuera de plazo"),IF(TODAY()&gt;E2,"Vencida","En plazo")),"")</f>
        <v/>
      </c>
    </row>
    <row r="3">
      <c r="A3" s="36" t="inlineStr">
        <is>
          <t>ARC-001</t>
        </is>
      </c>
      <c r="B3" s="36" t="inlineStr">
        <is>
          <t>J.G.M.</t>
        </is>
      </c>
      <c r="C3" s="36" t="inlineStr">
        <is>
          <t>Acceso</t>
        </is>
      </c>
      <c r="D3" s="39" t="n">
        <v>46157</v>
      </c>
      <c r="E3" s="39" t="n">
        <v>46187</v>
      </c>
      <c r="F3" s="39" t="n">
        <v>46162</v>
      </c>
      <c r="G3" s="36" t="inlineStr">
        <is>
          <t>Respondido</t>
        </is>
      </c>
      <c r="H3" s="36" t="inlineStr">
        <is>
          <t>Titular solicitó copia de todos sus datos. Entregado en formato estructurado.</t>
        </is>
      </c>
      <c r="I3" s="6">
        <f>IF(LEFT(A3,4)="ARC-",IF(ISNUMBER(F3),IF(F3&lt;=E3,"A tiempo","Fuera de plazo"),IF(TODAY()&gt;E3,"Vencida","En plazo")),"")</f>
        <v/>
      </c>
    </row>
    <row r="4">
      <c r="A4" s="36" t="inlineStr">
        <is>
          <t>ARC-002</t>
        </is>
      </c>
      <c r="B4" s="36" t="inlineStr">
        <is>
          <t>M.F.R.</t>
        </is>
      </c>
      <c r="C4" s="36" t="inlineStr">
        <is>
          <t>Rectificación</t>
        </is>
      </c>
      <c r="D4" s="39" t="n">
        <v>46162</v>
      </c>
      <c r="E4" s="39" t="n">
        <v>46192</v>
      </c>
      <c r="F4" s="39" t="n">
        <v>46170</v>
      </c>
      <c r="G4" s="36" t="inlineStr">
        <is>
          <t>Respondido</t>
        </is>
      </c>
      <c r="H4" s="36" t="inlineStr">
        <is>
          <t>Corrección de correo electrónico y teléfono de contacto.</t>
        </is>
      </c>
      <c r="I4" s="6">
        <f>IF(LEFT(A4,4)="ARC-",IF(ISNUMBER(F4),IF(F4&lt;=E4,"A tiempo","Fuera de plazo"),IF(TODAY()&gt;E4,"Vencida","En plazo")),"")</f>
        <v/>
      </c>
    </row>
    <row r="5">
      <c r="A5" s="36" t="inlineStr">
        <is>
          <t>ARC-003</t>
        </is>
      </c>
      <c r="B5" s="36" t="inlineStr">
        <is>
          <t>C.A.L.</t>
        </is>
      </c>
      <c r="C5" s="36" t="inlineStr">
        <is>
          <t>Cancelación / Supresión</t>
        </is>
      </c>
      <c r="D5" s="39" t="n">
        <v>46174</v>
      </c>
      <c r="E5" s="39" t="n">
        <v>46204</v>
      </c>
      <c r="F5" s="36" t="n"/>
      <c r="G5" s="36" t="inlineStr">
        <is>
          <t>En proceso</t>
        </is>
      </c>
      <c r="H5" s="36" t="inlineStr">
        <is>
          <t>Verificando obligaciones legales que pudieran impedir la eliminación total.</t>
        </is>
      </c>
      <c r="I5" s="6">
        <f>IF(LEFT(A5,4)="ARC-",IF(ISNUMBER(F5),IF(F5&lt;=E5,"A tiempo","Fuera de plazo"),IF(TODAY()&gt;E5,"Vencida","En plazo")),"")</f>
        <v/>
      </c>
    </row>
    <row r="6">
      <c r="A6" s="36" t="inlineStr">
        <is>
          <t>ARC-004</t>
        </is>
      </c>
      <c r="B6" s="36" t="inlineStr">
        <is>
          <t>R.M.V.</t>
        </is>
      </c>
      <c r="C6" s="36" t="inlineStr">
        <is>
          <t>Portabilidad</t>
        </is>
      </c>
      <c r="D6" s="39" t="n">
        <v>46176</v>
      </c>
      <c r="E6" s="39" t="n">
        <v>46206</v>
      </c>
      <c r="F6" s="36" t="n"/>
      <c r="G6" s="36" t="inlineStr">
        <is>
          <t>Pendiente</t>
        </is>
      </c>
      <c r="H6" s="36" t="inlineStr">
        <is>
          <t>Preparando datos en formato estructurado y legible por máquina.</t>
        </is>
      </c>
      <c r="I6" s="6">
        <f>IF(LEFT(A6,4)="ARC-",IF(ISNUMBER(F6),IF(F6&lt;=E6,"A tiempo","Fuera de plazo"),IF(TODAY()&gt;E6,"Vencida","En plazo")),"")</f>
        <v/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>
        <f>IF(LEFT(A7,4)="ARC-",IF(ISNUMBER(F7),IF(F7&lt;=E7,"A tiempo","Fuera de plazo"),IF(TODAY()&gt;E7,"Vencida","En plazo")),"")</f>
        <v/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>
        <f>IF(LEFT(A8,4)="ARC-",IF(ISNUMBER(F8),IF(F8&lt;=E8,"A tiempo","Fuera de plazo"),IF(TODAY()&gt;E8,"Vencida","En plazo")),"")</f>
        <v/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>
        <f>IF(LEFT(A9,4)="ARC-",IF(ISNUMBER(F9),IF(F9&lt;=E9,"A tiempo","Fuera de plazo"),IF(TODAY()&gt;E9,"Vencida","En plazo")),"")</f>
        <v/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>
        <f>IF(LEFT(A10,4)="ARC-",IF(ISNUMBER(F10),IF(F10&lt;=E10,"A tiempo","Fuera de plazo"),IF(TODAY()&gt;E10,"Vencida","En plazo")),"")</f>
        <v/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>
        <f>IF(LEFT(A11,4)="ARC-",IF(ISNUMBER(F11),IF(F11&lt;=E11,"A tiempo","Fuera de plazo"),IF(TODAY()&gt;E11,"Vencida","En plazo")),"")</f>
        <v/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>
        <f>IF(LEFT(A12,4)="ARC-",IF(ISNUMBER(F12),IF(F12&lt;=E12,"A tiempo","Fuera de plazo"),IF(TODAY()&gt;E12,"Vencida","En plazo")),"")</f>
        <v/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>
        <f>IF(LEFT(A13,4)="ARC-",IF(ISNUMBER(F13),IF(F13&lt;=E13,"A tiempo","Fuera de plazo"),IF(TODAY()&gt;E13,"Vencida","En plazo")),"")</f>
        <v/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>
        <f>IF(LEFT(A14,4)="ARC-",IF(ISNUMBER(F14),IF(F14&lt;=E14,"A tiempo","Fuera de plazo"),IF(TODAY()&gt;E14,"Vencida","En plazo")),"")</f>
        <v/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>
        <f>IF(LEFT(A15,4)="ARC-",IF(ISNUMBER(F15),IF(F15&lt;=E15,"A tiempo","Fuera de plazo"),IF(TODAY()&gt;E15,"Vencida","En plazo")),"")</f>
        <v/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>
        <f>IF(LEFT(A16,4)="ARC-",IF(ISNUMBER(F16),IF(F16&lt;=E16,"A tiempo","Fuera de plazo"),IF(TODAY()&gt;E16,"Vencida","En plazo")),"")</f>
        <v/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>
        <f>IF(LEFT(A17,4)="ARC-",IF(ISNUMBER(F17),IF(F17&lt;=E17,"A tiempo","Fuera de plazo"),IF(TODAY()&gt;E17,"Vencida","En plazo")),"")</f>
        <v/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>
        <f>IF(LEFT(A18,4)="ARC-",IF(ISNUMBER(F18),IF(F18&lt;=E18,"A tiempo","Fuera de plazo"),IF(TODAY()&gt;E18,"Vencida","En plazo")),"")</f>
        <v/>
      </c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>
        <f>IF(LEFT(A19,4)="ARC-",IF(ISNUMBER(F19),IF(F19&lt;=E19,"A tiempo","Fuera de plazo"),IF(TODAY()&gt;E19,"Vencida","En plazo")),"")</f>
        <v/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>
        <f>IF(LEFT(A20,4)="ARC-",IF(ISNUMBER(F20),IF(F20&lt;=E20,"A tiempo","Fuera de plazo"),IF(TODAY()&gt;E20,"Vencida","En plazo")),"")</f>
        <v/>
      </c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>
        <f>IF(LEFT(A21,4)="ARC-",IF(ISNUMBER(F21),IF(F21&lt;=E21,"A tiempo","Fuera de plazo"),IF(TODAY()&gt;E21,"Vencida","En plazo")),"")</f>
        <v/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>
        <f>IF(LEFT(A22,4)="ARC-",IF(ISNUMBER(F22),IF(F22&lt;=E22,"A tiempo","Fuera de plazo"),IF(TODAY()&gt;E22,"Vencida","En plazo")),"")</f>
        <v/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>
        <f>IF(LEFT(A23,4)="ARC-",IF(ISNUMBER(F23),IF(F23&lt;=E23,"A tiempo","Fuera de plazo"),IF(TODAY()&gt;E23,"Vencida","En plazo")),"")</f>
        <v/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>
        <f>IF(LEFT(A24,4)="ARC-",IF(ISNUMBER(F24),IF(F24&lt;=E24,"A tiempo","Fuera de plazo"),IF(TODAY()&gt;E24,"Vencida","En plazo")),"")</f>
        <v/>
      </c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>
        <f>IF(LEFT(A25,4)="ARC-",IF(ISNUMBER(F25),IF(F25&lt;=E25,"A tiempo","Fuera de plazo"),IF(TODAY()&gt;E25,"Vencida","En plazo")),"")</f>
        <v/>
      </c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>
        <f>IF(LEFT(A26,4)="ARC-",IF(ISNUMBER(F26),IF(F26&lt;=E26,"A tiempo","Fuera de plazo"),IF(TODAY()&gt;E26,"Vencida","En plazo")),"")</f>
        <v/>
      </c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>
        <f>IF(LEFT(A27,4)="ARC-",IF(ISNUMBER(F27),IF(F27&lt;=E27,"A tiempo","Fuera de plazo"),IF(TODAY()&gt;E27,"Vencida","En plazo")),"")</f>
        <v/>
      </c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>
        <f>IF(LEFT(A28,4)="ARC-",IF(ISNUMBER(F28),IF(F28&lt;=E28,"A tiempo","Fuera de plazo"),IF(TODAY()&gt;E28,"Vencida","En plazo")),"")</f>
        <v/>
      </c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>
        <f>IF(LEFT(A29,4)="ARC-",IF(ISNUMBER(F29),IF(F29&lt;=E29,"A tiempo","Fuera de plazo"),IF(TODAY()&gt;E29,"Vencida","En plazo")),"")</f>
        <v/>
      </c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>
        <f>IF(LEFT(A30,4)="ARC-",IF(ISNUMBER(F30),IF(F30&lt;=E30,"A tiempo","Fuera de plazo"),IF(TODAY()&gt;E30,"Vencida","En plazo")),"")</f>
        <v/>
      </c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>
        <f>IF(LEFT(A31,4)="ARC-",IF(ISNUMBER(F31),IF(F31&lt;=E31,"A tiempo","Fuera de plazo"),IF(TODAY()&gt;E31,"Vencida","En plazo")),"")</f>
        <v/>
      </c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>
        <f>IF(LEFT(A32,4)="ARC-",IF(ISNUMBER(F32),IF(F32&lt;=E32,"A tiempo","Fuera de plazo"),IF(TODAY()&gt;E32,"Vencida","En plazo")),"")</f>
        <v/>
      </c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>
        <f>IF(LEFT(A33,4)="ARC-",IF(ISNUMBER(F33),IF(F33&lt;=E33,"A tiempo","Fuera de plazo"),IF(TODAY()&gt;E33,"Vencida","En plazo")),"")</f>
        <v/>
      </c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>
        <f>IF(LEFT(A34,4)="ARC-",IF(ISNUMBER(F34),IF(F34&lt;=E34,"A tiempo","Fuera de plazo"),IF(TODAY()&gt;E34,"Vencida","En plazo")),"")</f>
        <v/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>
        <f>IF(LEFT(A35,4)="ARC-",IF(ISNUMBER(F35),IF(F35&lt;=E35,"A tiempo","Fuera de plazo"),IF(TODAY()&gt;E35,"Vencida","En plazo")),"")</f>
        <v/>
      </c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>
        <f>IF(LEFT(A36,4)="ARC-",IF(ISNUMBER(F36),IF(F36&lt;=E36,"A tiempo","Fuera de plazo"),IF(TODAY()&gt;E36,"Vencida","En plazo")),"")</f>
        <v/>
      </c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>
        <f>IF(LEFT(A37,4)="ARC-",IF(ISNUMBER(F37),IF(F37&lt;=E37,"A tiempo","Fuera de plazo"),IF(TODAY()&gt;E37,"Vencida","En plazo")),"")</f>
        <v/>
      </c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>
        <f>IF(LEFT(A38,4)="ARC-",IF(ISNUMBER(F38),IF(F38&lt;=E38,"A tiempo","Fuera de plazo"),IF(TODAY()&gt;E38,"Vencida","En plazo")),"")</f>
        <v/>
      </c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>
        <f>IF(LEFT(A39,4)="ARC-",IF(ISNUMBER(F39),IF(F39&lt;=E39,"A tiempo","Fuera de plazo"),IF(TODAY()&gt;E39,"Vencida","En plazo")),"")</f>
        <v/>
      </c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>
        <f>IF(LEFT(A40,4)="ARC-",IF(ISNUMBER(F40),IF(F40&lt;=E40,"A tiempo","Fuera de plazo"),IF(TODAY()&gt;E40,"Vencida","En plazo")),"")</f>
        <v/>
      </c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>
        <f>IF(LEFT(A41,4)="ARC-",IF(ISNUMBER(F41),IF(F41&lt;=E41,"A tiempo","Fuera de plazo"),IF(TODAY()&gt;E41,"Vencida","En plazo")),"")</f>
        <v/>
      </c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>
        <f>IF(LEFT(A42,4)="ARC-",IF(ISNUMBER(F42),IF(F42&lt;=E42,"A tiempo","Fuera de plazo"),IF(TODAY()&gt;E42,"Vencida","En plazo")),"")</f>
        <v/>
      </c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>
        <f>IF(LEFT(A43,4)="ARC-",IF(ISNUMBER(F43),IF(F43&lt;=E43,"A tiempo","Fuera de plazo"),IF(TODAY()&gt;E43,"Vencida","En plazo")),"")</f>
        <v/>
      </c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>
        <f>IF(LEFT(A44,4)="ARC-",IF(ISNUMBER(F44),IF(F44&lt;=E44,"A tiempo","Fuera de plazo"),IF(TODAY()&gt;E44,"Vencida","En plazo")),"")</f>
        <v/>
      </c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>
        <f>IF(LEFT(A45,4)="ARC-",IF(ISNUMBER(F45),IF(F45&lt;=E45,"A tiempo","Fuera de plazo"),IF(TODAY()&gt;E45,"Vencida","En plazo")),"")</f>
        <v/>
      </c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>
        <f>IF(LEFT(A46,4)="ARC-",IF(ISNUMBER(F46),IF(F46&lt;=E46,"A tiempo","Fuera de plazo"),IF(TODAY()&gt;E46,"Vencida","En plazo")),"")</f>
        <v/>
      </c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>
        <f>IF(LEFT(A47,4)="ARC-",IF(ISNUMBER(F47),IF(F47&lt;=E47,"A tiempo","Fuera de plazo"),IF(TODAY()&gt;E47,"Vencida","En plazo")),"")</f>
        <v/>
      </c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>
        <f>IF(LEFT(A48,4)="ARC-",IF(ISNUMBER(F48),IF(F48&lt;=E48,"A tiempo","Fuera de plazo"),IF(TODAY()&gt;E48,"Vencida","En plazo")),"")</f>
        <v/>
      </c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>
        <f>IF(LEFT(A49,4)="ARC-",IF(ISNUMBER(F49),IF(F49&lt;=E49,"A tiempo","Fuera de plazo"),IF(TODAY()&gt;E49,"Vencida","En plazo")),"")</f>
        <v/>
      </c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>
        <f>IF(LEFT(A50,4)="ARC-",IF(ISNUMBER(F50),IF(F50&lt;=E50,"A tiempo","Fuera de plazo"),IF(TODAY()&gt;E50,"Vencida","En plazo")),"")</f>
        <v/>
      </c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>
        <f>IF(LEFT(A51,4)="ARC-",IF(ISNUMBER(F51),IF(F51&lt;=E51,"A tiempo","Fuera de plazo"),IF(TODAY()&gt;E51,"Vencida","En plazo")),"")</f>
        <v/>
      </c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>
        <f>IF(LEFT(A52,4)="ARC-",IF(ISNUMBER(F52),IF(F52&lt;=E52,"A tiempo","Fuera de plazo"),IF(TODAY()&gt;E52,"Vencida","En plazo")),"")</f>
        <v/>
      </c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>
        <f>IF(LEFT(A53,4)="ARC-",IF(ISNUMBER(F53),IF(F53&lt;=E53,"A tiempo","Fuera de plazo"),IF(TODAY()&gt;E53,"Vencida","En plazo")),"")</f>
        <v/>
      </c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>
        <f>IF(LEFT(A54,4)="ARC-",IF(ISNUMBER(F54),IF(F54&lt;=E54,"A tiempo","Fuera de plazo"),IF(TODAY()&gt;E54,"Vencida","En plazo")),"")</f>
        <v/>
      </c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>
        <f>IF(LEFT(A55,4)="ARC-",IF(ISNUMBER(F55),IF(F55&lt;=E55,"A tiempo","Fuera de plazo"),IF(TODAY()&gt;E55,"Vencida","En plazo")),"")</f>
        <v/>
      </c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>
        <f>IF(LEFT(A56,4)="ARC-",IF(ISNUMBER(F56),IF(F56&lt;=E56,"A tiempo","Fuera de plazo"),IF(TODAY()&gt;E56,"Vencida","En plazo")),"")</f>
        <v/>
      </c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>
        <f>IF(LEFT(A57,4)="ARC-",IF(ISNUMBER(F57),IF(F57&lt;=E57,"A tiempo","Fuera de plazo"),IF(TODAY()&gt;E57,"Vencida","En plazo")),"")</f>
        <v/>
      </c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>
        <f>IF(LEFT(A58,4)="ARC-",IF(ISNUMBER(F58),IF(F58&lt;=E58,"A tiempo","Fuera de plazo"),IF(TODAY()&gt;E58,"Vencida","En plazo")),"")</f>
        <v/>
      </c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>
        <f>IF(LEFT(A59,4)="ARC-",IF(ISNUMBER(F59),IF(F59&lt;=E59,"A tiempo","Fuera de plazo"),IF(TODAY()&gt;E59,"Vencida","En plazo")),"")</f>
        <v/>
      </c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>
        <f>IF(LEFT(A60,4)="ARC-",IF(ISNUMBER(F60),IF(F60&lt;=E60,"A tiempo","Fuera de plazo"),IF(TODAY()&gt;E60,"Vencida","En plazo")),"")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3">
    <dataValidation sqref="C2:C60" showDropDown="0" showInputMessage="1" showErrorMessage="1" allowBlank="1" errorTitle="Tipo de derecho" error="Seleccione el tipo de derecho ARCOP de la lista." promptTitle="Tipo de derecho" prompt="Elija de la lista" type="list" errorStyle="warning">
      <formula1>=Listas!$B$2:$B$7</formula1>
    </dataValidation>
    <dataValidation sqref="G2:G60" showDropDown="0" showInputMessage="1" showErrorMessage="1" allowBlank="1" errorTitle="Estado" error="Seleccione el estado de la solicitud de la lista." promptTitle="Estado" prompt="Elija de la lista" type="list" errorStyle="warning">
      <formula1>=Listas!$C$2:$C$5</formula1>
    </dataValidation>
    <dataValidation sqref="D2:F60" showDropDown="0" showInputMessage="0" showErrorMessage="1" allowBlank="1" errorTitle="Fecha no válida" error="Ingrese una fecha válida (dd/mm/aaaa) entre 2020 y 2035." type="date" errorStyle="warning" operator="between">
      <formula1>43831</formula1>
      <formula2>49674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28" customWidth="1" min="4" max="4"/>
    <col width="26" customWidth="1" min="5" max="5"/>
    <col width="30" customWidth="1" min="6" max="6"/>
    <col width="36" customWidth="1" min="7" max="7"/>
    <col width="30" customWidth="1" min="8" max="8"/>
    <col width="30" customWidth="1" min="9" max="9"/>
    <col width="18" customWidth="1" min="10" max="10"/>
  </cols>
  <sheetData>
    <row r="1">
      <c r="A1" s="11" t="inlineStr">
        <is>
          <t>ID RAT</t>
        </is>
      </c>
      <c r="B1" s="11" t="inlineStr">
        <is>
          <t>Destinatario</t>
        </is>
      </c>
      <c r="C1" s="11" t="inlineStr">
        <is>
          <t>País</t>
        </is>
      </c>
      <c r="D1" s="11" t="inlineStr">
        <is>
          <t>Categoría Datos</t>
        </is>
      </c>
      <c r="E1" s="11" t="inlineStr">
        <is>
          <t>Finalidad</t>
        </is>
      </c>
      <c r="F1" s="11" t="inlineStr">
        <is>
          <t>Base Legal Transferencia</t>
        </is>
      </c>
      <c r="G1" s="11" t="inlineStr">
        <is>
          <t>Garantías Adoptadas</t>
        </is>
      </c>
      <c r="H1" s="11" t="inlineStr">
        <is>
          <t>Estado Adecuación</t>
        </is>
      </c>
      <c r="I1" s="11" t="inlineStr">
        <is>
          <t>Observaciones</t>
        </is>
      </c>
      <c r="J1" s="11" t="inlineStr">
        <is>
          <t>Garantía definida</t>
        </is>
      </c>
    </row>
    <row r="2">
      <c r="A2" s="36" t="inlineStr">
        <is>
          <t>RAT-003</t>
        </is>
      </c>
      <c r="B2" s="36" t="inlineStr">
        <is>
          <t>Mailchimp (Intuit Inc.)</t>
        </is>
      </c>
      <c r="C2" s="36" t="inlineStr">
        <is>
          <t>EE.UU.</t>
        </is>
      </c>
      <c r="D2" s="36" t="inlineStr">
        <is>
          <t>Nombre, email, preferencias</t>
        </is>
      </c>
      <c r="E2" s="36" t="inlineStr">
        <is>
          <t>Email marketing</t>
        </is>
      </c>
      <c r="F2" s="36" t="inlineStr">
        <is>
          <t>Consentimiento + DPA firmado</t>
        </is>
      </c>
      <c r="G2" s="36" t="inlineStr">
        <is>
          <t>SCCs (Cláusulas Contractuales Tipo) + DPA</t>
        </is>
      </c>
      <c r="H2" s="36" t="inlineStr">
        <is>
          <t>Sin decisión de adecuación CPLT — usar SCCs</t>
        </is>
      </c>
      <c r="I2" s="36" t="inlineStr">
        <is>
          <t>Revisar anualmente</t>
        </is>
      </c>
      <c r="J2" s="6">
        <f>IF(LEFT(A2,4)="RAT-",IF(LEN(G2)&gt;0,"Sí","No"),"")</f>
        <v/>
      </c>
    </row>
    <row r="3">
      <c r="A3" s="36" t="inlineStr">
        <is>
          <t>RAT-002</t>
        </is>
      </c>
      <c r="B3" s="36" t="inlineStr">
        <is>
          <t>Previred S.A.</t>
        </is>
      </c>
      <c r="C3" s="36" t="inlineStr">
        <is>
          <t>Chile</t>
        </is>
      </c>
      <c r="D3" s="36" t="inlineStr">
        <is>
          <t>RUT, salario, cargas familiares</t>
        </is>
      </c>
      <c r="E3" s="36" t="inlineStr">
        <is>
          <t>Cotizaciones previsionales</t>
        </is>
      </c>
      <c r="F3" s="36" t="inlineStr">
        <is>
          <t>Obligación legal (DL 3.500)</t>
        </is>
      </c>
      <c r="G3" s="36" t="inlineStr">
        <is>
          <t>Obligación legal chilena — no requiere garantía adicional</t>
        </is>
      </c>
      <c r="H3" s="36" t="inlineStr">
        <is>
          <t>N/A — Entidad sujeta a regulación CMF Chile</t>
        </is>
      </c>
      <c r="I3" s="36" t="inlineStr">
        <is>
          <t>Proveedor regulado</t>
        </is>
      </c>
      <c r="J3" s="6">
        <f>IF(LEFT(A3,4)="RAT-",IF(LEN(G3)&gt;0,"Sí","No"),"")</f>
        <v/>
      </c>
    </row>
    <row r="4">
      <c r="A4" s="36" t="inlineStr">
        <is>
          <t>RAT-005</t>
        </is>
      </c>
      <c r="B4" s="36" t="inlineStr">
        <is>
          <t>Proveedor SIEM cloud</t>
        </is>
      </c>
      <c r="C4" s="36" t="inlineStr">
        <is>
          <t>EE.UU. / UE</t>
        </is>
      </c>
      <c r="D4" s="36" t="inlineStr">
        <is>
          <t>Logs de usuario, IP, eventos de seguridad</t>
        </is>
      </c>
      <c r="E4" s="36" t="inlineStr">
        <is>
          <t>Seguridad y detección de amenazas</t>
        </is>
      </c>
      <c r="F4" s="36" t="inlineStr">
        <is>
          <t>Interés legítimo + DPA</t>
        </is>
      </c>
      <c r="G4" s="36" t="inlineStr">
        <is>
          <t>DPA + Certificación SOC 2 Type II</t>
        </is>
      </c>
      <c r="H4" s="36" t="inlineStr">
        <is>
          <t>Evaluar según proveedor contratado</t>
        </is>
      </c>
      <c r="I4" s="36" t="inlineStr">
        <is>
          <t>Verificar ubicación de datacenters y sub-encargados</t>
        </is>
      </c>
      <c r="J4" s="6">
        <f>IF(LEFT(A4,4)="RAT-",IF(LEN(G4)&gt;0,"Sí","No"),"")</f>
        <v/>
      </c>
    </row>
    <row r="5">
      <c r="A5" s="36" t="inlineStr">
        <is>
          <t>Art. 25 Ley 21.719: Transferencias internacionales permitidas solo a países con nivel adecuado o mediante garantías contractuales equivalentes. El CPLT publicará la lista de países adecuados.</t>
        </is>
      </c>
      <c r="B5" s="36" t="n"/>
      <c r="C5" s="36" t="n"/>
      <c r="D5" s="36" t="n"/>
      <c r="E5" s="36" t="n"/>
      <c r="F5" s="36" t="n"/>
      <c r="G5" s="36" t="n"/>
      <c r="H5" s="36" t="n"/>
      <c r="I5" s="36" t="n"/>
      <c r="J5" s="6">
        <f>IF(LEFT(A5,4)="RAT-",IF(LEN(G5)&gt;0,"Sí","No"),"")</f>
        <v/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>
        <f>IF(LEFT(A6,4)="RAT-",IF(LEN(G6)&gt;0,"Sí","No"),"")</f>
        <v/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>
        <f>IF(LEFT(A7,4)="RAT-",IF(LEN(G7)&gt;0,"Sí","No"),"")</f>
        <v/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>
        <f>IF(LEFT(A8,4)="RAT-",IF(LEN(G8)&gt;0,"Sí","No"),"")</f>
        <v/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>
        <f>IF(LEFT(A9,4)="RAT-",IF(LEN(G9)&gt;0,"Sí","No"),"")</f>
        <v/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>
        <f>IF(LEFT(A10,4)="RAT-",IF(LEN(G10)&gt;0,"Sí","No"),"")</f>
        <v/>
      </c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>
        <f>IF(LEFT(A11,4)="RAT-",IF(LEN(G11)&gt;0,"Sí","No"),"")</f>
        <v/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>
        <f>IF(LEFT(A12,4)="RAT-",IF(LEN(G12)&gt;0,"Sí","No"),"")</f>
        <v/>
      </c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>
        <f>IF(LEFT(A13,4)="RAT-",IF(LEN(G13)&gt;0,"Sí","No"),"")</f>
        <v/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>
        <f>IF(LEFT(A14,4)="RAT-",IF(LEN(G14)&gt;0,"Sí","No"),"")</f>
        <v/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>
        <f>IF(LEFT(A15,4)="RAT-",IF(LEN(G15)&gt;0,"Sí","No"),"")</f>
        <v/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>
        <f>IF(LEFT(A16,4)="RAT-",IF(LEN(G16)&gt;0,"Sí","No"),"")</f>
        <v/>
      </c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>
        <f>IF(LEFT(A17,4)="RAT-",IF(LEN(G17)&gt;0,"Sí","No"),"")</f>
        <v/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>
        <f>IF(LEFT(A18,4)="RAT-",IF(LEN(G18)&gt;0,"Sí","No"),"")</f>
        <v/>
      </c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>
        <f>IF(LEFT(A19,4)="RAT-",IF(LEN(G19)&gt;0,"Sí","No"),"")</f>
        <v/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>
        <f>IF(LEFT(A20,4)="RAT-",IF(LEN(G20)&gt;0,"Sí","No"),"")</f>
        <v/>
      </c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>
        <f>IF(LEFT(A21,4)="RAT-",IF(LEN(G21)&gt;0,"Sí","No"),"")</f>
        <v/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>
        <f>IF(LEFT(A22,4)="RAT-",IF(LEN(G22)&gt;0,"Sí","No"),"")</f>
        <v/>
      </c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>
        <f>IF(LEFT(A23,4)="RAT-",IF(LEN(G23)&gt;0,"Sí","No"),"")</f>
        <v/>
      </c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>
        <f>IF(LEFT(A24,4)="RAT-",IF(LEN(G24)&gt;0,"Sí","No"),"")</f>
        <v/>
      </c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>
        <f>IF(LEFT(A25,4)="RAT-",IF(LEN(G25)&gt;0,"Sí","No"),"")</f>
        <v/>
      </c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>
        <f>IF(LEFT(A26,4)="RAT-",IF(LEN(G26)&gt;0,"Sí","No"),"")</f>
        <v/>
      </c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>
        <f>IF(LEFT(A27,4)="RAT-",IF(LEN(G27)&gt;0,"Sí","No"),"")</f>
        <v/>
      </c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>
        <f>IF(LEFT(A28,4)="RAT-",IF(LEN(G28)&gt;0,"Sí","No"),"")</f>
        <v/>
      </c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>
        <f>IF(LEFT(A29,4)="RAT-",IF(LEN(G29)&gt;0,"Sí","No"),"")</f>
        <v/>
      </c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>
        <f>IF(LEFT(A30,4)="RAT-",IF(LEN(G30)&gt;0,"Sí","No"),"")</f>
        <v/>
      </c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>
        <f>IF(LEFT(A31,4)="RAT-",IF(LEN(G31)&gt;0,"Sí","No"),"")</f>
        <v/>
      </c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>
        <f>IF(LEFT(A32,4)="RAT-",IF(LEN(G32)&gt;0,"Sí","No"),"")</f>
        <v/>
      </c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>
        <f>IF(LEFT(A33,4)="RAT-",IF(LEN(G33)&gt;0,"Sí","No"),"")</f>
        <v/>
      </c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>
        <f>IF(LEFT(A34,4)="RAT-",IF(LEN(G34)&gt;0,"Sí","No"),"")</f>
        <v/>
      </c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>
        <f>IF(LEFT(A35,4)="RAT-",IF(LEN(G35)&gt;0,"Sí","No"),"")</f>
        <v/>
      </c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>
        <f>IF(LEFT(A36,4)="RAT-",IF(LEN(G36)&gt;0,"Sí","No"),"")</f>
        <v/>
      </c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>
        <f>IF(LEFT(A37,4)="RAT-",IF(LEN(G37)&gt;0,"Sí","No"),"")</f>
        <v/>
      </c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>
        <f>IF(LEFT(A38,4)="RAT-",IF(LEN(G38)&gt;0,"Sí","No"),"")</f>
        <v/>
      </c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>
        <f>IF(LEFT(A39,4)="RAT-",IF(LEN(G39)&gt;0,"Sí","No"),"")</f>
        <v/>
      </c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>
        <f>IF(LEFT(A40,4)="RAT-",IF(LEN(G40)&gt;0,"Sí","No"),"")</f>
        <v/>
      </c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>
        <f>IF(LEFT(A41,4)="RAT-",IF(LEN(G41)&gt;0,"Sí","No"),"")</f>
        <v/>
      </c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>
        <f>IF(LEFT(A42,4)="RAT-",IF(LEN(G42)&gt;0,"Sí","No"),"")</f>
        <v/>
      </c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>
        <f>IF(LEFT(A43,4)="RAT-",IF(LEN(G43)&gt;0,"Sí","No"),"")</f>
        <v/>
      </c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>
        <f>IF(LEFT(A44,4)="RAT-",IF(LEN(G44)&gt;0,"Sí","No"),"")</f>
        <v/>
      </c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>
        <f>IF(LEFT(A45,4)="RAT-",IF(LEN(G45)&gt;0,"Sí","No"),"")</f>
        <v/>
      </c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>
        <f>IF(LEFT(A46,4)="RAT-",IF(LEN(G46)&gt;0,"Sí","No"),"")</f>
        <v/>
      </c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>
        <f>IF(LEFT(A47,4)="RAT-",IF(LEN(G47)&gt;0,"Sí","No"),"")</f>
        <v/>
      </c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>
        <f>IF(LEFT(A48,4)="RAT-",IF(LEN(G48)&gt;0,"Sí","No"),"")</f>
        <v/>
      </c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>
        <f>IF(LEFT(A49,4)="RAT-",IF(LEN(G49)&gt;0,"Sí","No"),"")</f>
        <v/>
      </c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>
        <f>IF(LEFT(A50,4)="RAT-",IF(LEN(G50)&gt;0,"Sí","No"),"")</f>
        <v/>
      </c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>
        <f>IF(LEFT(A51,4)="RAT-",IF(LEN(G51)&gt;0,"Sí","No"),"")</f>
        <v/>
      </c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>
        <f>IF(LEFT(A52,4)="RAT-",IF(LEN(G52)&gt;0,"Sí","No"),"")</f>
        <v/>
      </c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>
        <f>IF(LEFT(A53,4)="RAT-",IF(LEN(G53)&gt;0,"Sí","No"),"")</f>
        <v/>
      </c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>
        <f>IF(LEFT(A54,4)="RAT-",IF(LEN(G54)&gt;0,"Sí","No"),"")</f>
        <v/>
      </c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>
        <f>IF(LEFT(A55,4)="RAT-",IF(LEN(G55)&gt;0,"Sí","No"),"")</f>
        <v/>
      </c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>
        <f>IF(LEFT(A56,4)="RAT-",IF(LEN(G56)&gt;0,"Sí","No"),"")</f>
        <v/>
      </c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>
        <f>IF(LEFT(A57,4)="RAT-",IF(LEN(G57)&gt;0,"Sí","No"),"")</f>
        <v/>
      </c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>
        <f>IF(LEFT(A58,4)="RAT-",IF(LEN(G58)&gt;0,"Sí","No"),"")</f>
        <v/>
      </c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>
        <f>IF(LEFT(A59,4)="RAT-",IF(LEN(G59)&gt;0,"Sí","No"),"")</f>
        <v/>
      </c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>
        <f>IF(LEFT(A60,4)="RAT-",IF(LEN(G60)&gt;0,"Sí","No"),"")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84" customWidth="1" min="3" max="3"/>
  </cols>
  <sheetData>
    <row r="1">
      <c r="A1" s="11" t="inlineStr">
        <is>
          <t>Puntaje</t>
        </is>
      </c>
      <c r="B1" s="11" t="inlineStr">
        <is>
          <t>Nivel</t>
        </is>
      </c>
      <c r="C1" s="11" t="inlineStr">
        <is>
          <t>Criterio</t>
        </is>
      </c>
    </row>
    <row r="2">
      <c r="A2" s="12" t="n">
        <v>1</v>
      </c>
      <c r="B2" s="12" t="inlineStr">
        <is>
          <t>No existe</t>
        </is>
      </c>
      <c r="C2" s="12" t="inlineStr">
        <is>
          <t>No hay control ni práctica documentada.</t>
        </is>
      </c>
    </row>
    <row r="3">
      <c r="A3" s="12" t="n">
        <v>2</v>
      </c>
      <c r="B3" s="12" t="inlineStr">
        <is>
          <t>Inicial</t>
        </is>
      </c>
      <c r="C3" s="12" t="inlineStr">
        <is>
          <t>Práctica informal o parcial, sin documentación ni responsable definido.</t>
        </is>
      </c>
    </row>
    <row r="4">
      <c r="A4" s="12" t="n">
        <v>3</v>
      </c>
      <c r="B4" s="12" t="inlineStr">
        <is>
          <t>Definido</t>
        </is>
      </c>
      <c r="C4" s="12" t="inlineStr">
        <is>
          <t>Control documentado con responsable, aplicado de forma inconsistente o sin evidencia completa.</t>
        </is>
      </c>
    </row>
    <row r="5">
      <c r="A5" s="12" t="n">
        <v>4</v>
      </c>
      <c r="B5" s="12" t="inlineStr">
        <is>
          <t>Implementado</t>
        </is>
      </c>
      <c r="C5" s="12" t="inlineStr">
        <is>
          <t>Control aplicado en la operación, con evidencia disponible.</t>
        </is>
      </c>
    </row>
    <row r="6">
      <c r="A6" s="12" t="n">
        <v>5</v>
      </c>
      <c r="B6" s="12" t="inlineStr">
        <is>
          <t>Optimizado</t>
        </is>
      </c>
      <c r="C6" s="12" t="inlineStr">
        <is>
          <t>Control implementado, evidenciado, medido y revisado periódicamente.</t>
        </is>
      </c>
    </row>
    <row r="7">
      <c r="A7" s="40" t="n"/>
      <c r="B7" s="40" t="n"/>
      <c r="C7" s="40" t="n"/>
    </row>
    <row r="8">
      <c r="A8" s="12" t="inlineStr">
        <is>
          <t>Madurez</t>
        </is>
      </c>
      <c r="B8" s="12" t="inlineStr">
        <is>
          <t>Rango</t>
        </is>
      </c>
      <c r="C8" s="12" t="inlineStr">
        <is>
          <t>Interpretación</t>
        </is>
      </c>
    </row>
    <row r="9">
      <c r="A9" s="12" t="inlineStr">
        <is>
          <t>Crítico</t>
        </is>
      </c>
      <c r="B9" s="12" t="inlineStr">
        <is>
          <t>1.0 – 1.9</t>
        </is>
      </c>
      <c r="C9" s="12" t="inlineStr">
        <is>
          <t>Exposición alta a sanciones. Plan inmediato.</t>
        </is>
      </c>
    </row>
    <row r="10">
      <c r="A10" s="12" t="inlineStr">
        <is>
          <t>Inicial</t>
        </is>
      </c>
      <c r="B10" s="12" t="inlineStr">
        <is>
          <t>2.0 – 2.9</t>
        </is>
      </c>
      <c r="C10" s="12" t="inlineStr">
        <is>
          <t>Brechas significativas. Priorizar D1, D2, D3 y D9.</t>
        </is>
      </c>
    </row>
    <row r="11">
      <c r="A11" s="12" t="inlineStr">
        <is>
          <t>En desarrollo</t>
        </is>
      </c>
      <c r="B11" s="12" t="inlineStr">
        <is>
          <t>3.0 – 3.9</t>
        </is>
      </c>
      <c r="C11" s="12" t="inlineStr">
        <is>
          <t>Base instalada con brechas de evidencia y consistencia.</t>
        </is>
      </c>
    </row>
    <row r="12">
      <c r="A12" s="12" t="inlineStr">
        <is>
          <t>Avanzado</t>
        </is>
      </c>
      <c r="B12" s="12" t="inlineStr">
        <is>
          <t>4.0 – 4.5</t>
        </is>
      </c>
      <c r="C12" s="12" t="inlineStr">
        <is>
          <t>Cumplimiento sólido. Foco en medición y auditoría.</t>
        </is>
      </c>
    </row>
    <row r="13">
      <c r="A13" s="12" t="inlineStr">
        <is>
          <t>Optimizado</t>
        </is>
      </c>
      <c r="B13" s="12" t="inlineStr">
        <is>
          <t>4.6 – 5.0</t>
        </is>
      </c>
      <c r="C13" s="12" t="inlineStr">
        <is>
          <t>Madurez con mejora continua demostrable.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1" t="inlineStr">
        <is>
          <t>NOTAS DE USO Y VERIFICACIÓN</t>
        </is>
      </c>
    </row>
    <row r="2" ht="42" customHeight="1">
      <c r="A2" s="6" t="inlineStr">
        <is>
          <t>1. Regla de puntaje: cada requisito legal toma el promedio de sus controles mapeados (y de sus indicadores RAT, ARCOP o transferencias cuando corresponden). No hay puntaje manual.</t>
        </is>
      </c>
    </row>
    <row r="3" ht="42" customHeight="1">
      <c r="A3" s="6" t="inlineStr">
        <is>
          <t>2. Controles sin requisito asociado: 0 controles del catálogo no están mapeados a ningún requisito y no afectan el total. Están marcados 'No' en la columna 'Usado en requisitos' de la hoja Controles marcos. Revisar si corresponde mapearlos.</t>
        </is>
      </c>
    </row>
    <row r="4" ht="42" customHeight="1">
      <c r="A4" s="6" t="inlineStr">
        <is>
          <t>3. ARCOP: el estado de plazo se calcula con la fecha de hoy. Hoy hay solicitudes vencidas (ARC-003 y ARC-004, con plazos de julio de 2026). Ver el indicador de la hoja Resumen.</t>
        </is>
      </c>
    </row>
    <row r="5" ht="42" customHeight="1">
      <c r="A5" s="6" t="inlineStr">
        <is>
          <t>4. Plazo de notificación de vulneraciones: las fuentes consultadas no coinciden (algunas indican 72 horas y otras, notificar sin dilación indebida). Confirmar en la BCN antes de fijar plazos internos.</t>
        </is>
      </c>
    </row>
    <row r="6" ht="42" customHeight="1">
      <c r="A6" s="6" t="inlineStr">
        <is>
          <t>5. Vigencia: la ley entra en vigencia el 1 de diciembre de 2026. Hay un proyecto para postergarla a diciembre de 2027; verificar su estado.</t>
        </is>
      </c>
    </row>
    <row r="7" ht="42" customHeight="1">
      <c r="A7" s="6" t="inlineStr">
        <is>
          <t>6. Las referencias a artículos y los controles de los marcos vienen de los documentos del proyecto y no se verificaron una por una contra el texto oficial.</t>
        </is>
      </c>
    </row>
    <row r="8" ht="42" customHeight="1">
      <c r="A8" s="6" t="inlineStr">
        <is>
          <t>7. PCI DSS y COBIT aplican solo si la organización procesa tarjetas o gestiona esos procesos. Usar N/A con justificación cuando no correspondan.</t>
        </is>
      </c>
    </row>
    <row r="9" ht="42" customHeight="1">
      <c r="A9" s="6" t="inlineStr">
        <is>
          <t>8. Benchmark BM-CONT (contenedores) no está mapeado a ningún requisito; se agregó solo al catálogo.</t>
        </is>
      </c>
    </row>
    <row r="10" ht="42" customHeight="1">
      <c r="A10" s="6" t="inlineStr">
        <is>
          <t>9. PCI DSS: el alcance del txt incluye solo los requisitos 2, 5, 7 y 8. Los requisitos 3, 4, 6, 10, 11 y 12 no están en el catálogo. Agregarlos cambia el alcance cotizado y debe confirmarse antes.</t>
        </is>
      </c>
    </row>
    <row r="11" ht="42" customHeight="1">
      <c r="A11" s="6" t="inlineStr">
        <is>
          <t>10. Esta herramienta es de autoevaluación y no constituye asesoría legal.</t>
        </is>
      </c>
    </row>
    <row r="12" ht="90" customHeight="1">
      <c r="A12" s="6" t="inlineStr">
        <is>
          <t>11. Meta objetivo: la escala 1 a 5 sigue la lógica de los modelos de capacidad y madurez (COBIT 5). El nivel 4 (Implementado) indica control operando con evidencia; el nivel 5 (Optimizado) se reserva para procesos críticos. La meta base es 4,0 y se ajusta según criterios de riesgo (impacto y exposición, enfoque ISO/IEC 27005): datos sensibles o de menores a gran escala, decisiones automatizadas, transferencias o muchos proveedores externos, y videovigilancia o biometría. Cada criterio que aplica suma 0,25, con tope de 4,5. Es un criterio de gestión propuesto, no un requisito numérico de la ley. Cualquier ajuste debe justificarse por escrito.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</cols>
  <sheetData>
    <row r="1">
      <c r="A1" s="3" t="inlineStr">
        <is>
          <t>Base legal (Art. 13)</t>
        </is>
      </c>
      <c r="B1" s="3" t="inlineStr">
        <is>
          <t>Tipo de derecho ARCOP</t>
        </is>
      </c>
      <c r="C1" s="3" t="inlineStr">
        <is>
          <t>Estado ARCOP</t>
        </is>
      </c>
      <c r="D1" s="3" t="inlineStr">
        <is>
          <t>Sí / No</t>
        </is>
      </c>
      <c r="E1" s="3" t="inlineStr">
        <is>
          <t>Puntaje</t>
        </is>
      </c>
    </row>
    <row r="2">
      <c r="A2" t="inlineStr">
        <is>
          <t>Lit. a — Consentimiento expreso</t>
        </is>
      </c>
      <c r="B2" t="inlineStr">
        <is>
          <t>Acceso</t>
        </is>
      </c>
      <c r="C2" t="inlineStr">
        <is>
          <t>Pendiente</t>
        </is>
      </c>
      <c r="D2" t="inlineStr">
        <is>
          <t>Sí</t>
        </is>
      </c>
      <c r="E2" t="inlineStr">
        <is>
          <t>1</t>
        </is>
      </c>
    </row>
    <row r="3">
      <c r="A3" t="inlineStr">
        <is>
          <t>Lit. b — Ejecución de contrato</t>
        </is>
      </c>
      <c r="B3" t="inlineStr">
        <is>
          <t>Rectificación</t>
        </is>
      </c>
      <c r="C3" t="inlineStr">
        <is>
          <t>En proceso</t>
        </is>
      </c>
      <c r="D3" t="inlineStr">
        <is>
          <t>No</t>
        </is>
      </c>
      <c r="E3" t="inlineStr">
        <is>
          <t>2</t>
        </is>
      </c>
    </row>
    <row r="4">
      <c r="A4" t="inlineStr">
        <is>
          <t>Lit. c — Obligación legal</t>
        </is>
      </c>
      <c r="B4" t="inlineStr">
        <is>
          <t>Cancelación / Supresión</t>
        </is>
      </c>
      <c r="C4" t="inlineStr">
        <is>
          <t>Respondido</t>
        </is>
      </c>
      <c r="E4" t="inlineStr">
        <is>
          <t>3</t>
        </is>
      </c>
    </row>
    <row r="5">
      <c r="A5" t="inlineStr">
        <is>
          <t>Lit. d — Interés vital</t>
        </is>
      </c>
      <c r="B5" t="inlineStr">
        <is>
          <t>Oposición</t>
        </is>
      </c>
      <c r="C5" t="inlineStr">
        <is>
          <t>Rechazado</t>
        </is>
      </c>
      <c r="E5" t="inlineStr">
        <is>
          <t>4</t>
        </is>
      </c>
    </row>
    <row r="6">
      <c r="A6" t="inlineStr">
        <is>
          <t>Lit. e — Interés legítimo</t>
        </is>
      </c>
      <c r="B6" t="inlineStr">
        <is>
          <t>Portabilidad</t>
        </is>
      </c>
      <c r="E6" t="inlineStr">
        <is>
          <t>5</t>
        </is>
      </c>
    </row>
    <row r="7">
      <c r="A7" t="inlineStr">
        <is>
          <t>Lit. f — Interés público o autoridad pública</t>
        </is>
      </c>
      <c r="B7" t="inlineStr">
        <is>
          <t>Decisiones automatizadas</t>
        </is>
      </c>
      <c r="E7" t="inlineStr">
        <is>
          <t>N/A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2026-10-20T19:09:46Z</dcterms:created>
  <dcterms:modified xmlns:dcterms="http://purl.org/dc/terms/" xmlns:xsi="http://www.w3.org/2001/XMLSchema-instance" xsi:type="dcterms:W3CDTF">2026-10-20T19:09:46Z</dcterms:modified>
</cp:coreProperties>
</file>